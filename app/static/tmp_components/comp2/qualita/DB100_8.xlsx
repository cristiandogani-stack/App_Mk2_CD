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tian.dogani\Desktop\"/>
    </mc:Choice>
  </mc:AlternateContent>
  <xr:revisionPtr revIDLastSave="0" documentId="8_{DEC45172-1709-4ACB-8166-32D3FAFF6E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B DQS100" sheetId="1" r:id="rId1"/>
    <sheet name="P001-025-001B" sheetId="2" r:id="rId2"/>
    <sheet name="P001-025-002" sheetId="3" r:id="rId3"/>
    <sheet name="P001-024-019B" sheetId="4" r:id="rId4"/>
    <sheet name="P001-025-003" sheetId="5" r:id="rId5"/>
    <sheet name="P001-024-008B" sheetId="6" r:id="rId6"/>
    <sheet name="P001-024-031" sheetId="7" r:id="rId7"/>
    <sheet name="P001-024-052" sheetId="8" r:id="rId8"/>
    <sheet name="P001-024-028" sheetId="9" r:id="rId9"/>
    <sheet name="P001-024-012A" sheetId="10" r:id="rId10"/>
    <sheet name="P001-024-010A" sheetId="11" r:id="rId11"/>
    <sheet name="P001-024-011" sheetId="12" r:id="rId12"/>
    <sheet name="P001-024-016" sheetId="13" r:id="rId13"/>
    <sheet name="P001-024-021B" sheetId="14" r:id="rId14"/>
    <sheet name="P001-024-022D" sheetId="15" r:id="rId15"/>
    <sheet name="P001-024-023D" sheetId="16" r:id="rId16"/>
    <sheet name="P001-024-024D" sheetId="17" r:id="rId17"/>
    <sheet name="C0975-074-0875S _x000a_D20" sheetId="18" r:id="rId18"/>
    <sheet name="CORPO VNR" sheetId="19" r:id="rId19"/>
    <sheet name="ISO 2338 - 1 m6 x _x000a_4 - St" sheetId="20" r:id="rId20"/>
    <sheet name="P001-024-032" sheetId="21" r:id="rId21"/>
    <sheet name="P001-024-037" sheetId="22" r:id="rId22"/>
    <sheet name="P001-024-035" sheetId="23" r:id="rId23"/>
    <sheet name="P001-024-036" sheetId="24" r:id="rId24"/>
    <sheet name="P001-024-025B" sheetId="25" r:id="rId25"/>
    <sheet name="P001-024-026" sheetId="26" r:id="rId26"/>
    <sheet name="P001-024-042" sheetId="27" r:id="rId27"/>
    <sheet name="P001-024-041A" sheetId="28" r:id="rId28"/>
    <sheet name="P001-024-043" sheetId="29" r:id="rId29"/>
    <sheet name="P001-024-044" sheetId="30" r:id="rId30"/>
    <sheet name="P001-024-045" sheetId="31" r:id="rId31"/>
    <sheet name="P001-024-054" sheetId="32" r:id="rId32"/>
    <sheet name="P001-024-002B" sheetId="33" r:id="rId33"/>
    <sheet name="P001-024-004" sheetId="34" r:id="rId34"/>
    <sheet name="P001-024-005" sheetId="35" r:id="rId35"/>
    <sheet name="375923KE00" sheetId="36" r:id="rId36"/>
    <sheet name="P001-024-038" sheetId="37" r:id="rId37"/>
    <sheet name="P001-024-015C" sheetId="38" r:id="rId38"/>
    <sheet name="Foglio2" sheetId="86" r:id="rId39"/>
    <sheet name="P001-025-008KOREA" sheetId="39" r:id="rId40"/>
    <sheet name="P001-024-046" sheetId="40" r:id="rId41"/>
    <sheet name="P001-024-047" sheetId="41" r:id="rId42"/>
    <sheet name="P001-025-009KOREA" sheetId="42" r:id="rId43"/>
    <sheet name="RST M8x3" sheetId="43" r:id="rId44"/>
    <sheet name="P001-024-050" sheetId="44" r:id="rId45"/>
    <sheet name="P001-024-051" sheetId="45" r:id="rId46"/>
    <sheet name="9TTP40J6PELD" sheetId="46" r:id="rId47"/>
    <sheet name="9TTP25J5PELD" sheetId="47" r:id="rId48"/>
    <sheet name="P001-024-039" sheetId="48" r:id="rId49"/>
    <sheet name="P001-025-004" sheetId="49" r:id="rId50"/>
    <sheet name="P001-025-007" sheetId="50" r:id="rId51"/>
    <sheet name="PM012216E" sheetId="51" r:id="rId52"/>
    <sheet name="COMM_SF030" sheetId="52" r:id="rId53"/>
    <sheet name="COMM_A001-024-006" sheetId="53" r:id="rId54"/>
    <sheet name="COMM_spina_1_x_6" sheetId="54" r:id="rId55"/>
    <sheet name="COMM_SF1-8" sheetId="55" r:id="rId56"/>
    <sheet name="COMM_OR2021" sheetId="56" r:id="rId57"/>
    <sheet name="COMM_A001-024-011" sheetId="57" r:id="rId58"/>
    <sheet name="COMM_OR2043" sheetId="58" r:id="rId59"/>
    <sheet name="COMM_A001-024-002" sheetId="59" r:id="rId60"/>
    <sheet name="COMM_or_3100" sheetId="60" r:id="rId61"/>
    <sheet name="COMM_941625X19X3J5PO00" sheetId="61" r:id="rId62"/>
    <sheet name="COMM_or_2106" sheetId="62" r:id="rId63"/>
    <sheet name="COMM_A001-024-007A" sheetId="63" r:id="rId64"/>
    <sheet name="COMM_A001-024-005E" sheetId="64" r:id="rId65"/>
    <sheet name="COMM_VNR5" sheetId="65" r:id="rId66"/>
    <sheet name="COMM_SF001J5" sheetId="66" r:id="rId67"/>
    <sheet name="COMM_OR2081" sheetId="67" r:id="rId68"/>
    <sheet name="COMM_OR2087" sheetId="68" r:id="rId69"/>
    <sheet name="COMM_OR108" sheetId="69" r:id="rId70"/>
    <sheet name="COMM_OR2187" sheetId="70" r:id="rId71"/>
    <sheet name="COMM_OR2031" sheetId="71" r:id="rId72"/>
    <sheet name="COMM_SF3-32" sheetId="72" r:id="rId73"/>
    <sheet name="COMM_OR3118" sheetId="73" r:id="rId74"/>
    <sheet name="COMM_OR4287" sheetId="74" r:id="rId75"/>
    <sheet name="COMM_OR3200" sheetId="75" r:id="rId76"/>
    <sheet name="COMM_OR2200" sheetId="76" r:id="rId77"/>
    <sheet name="COMM_A001-024-003C" sheetId="77" r:id="rId78"/>
    <sheet name="COMM_A001-025-003KOREA" sheetId="78" r:id="rId79"/>
    <sheet name="COMM_A001-024-009" sheetId="79" r:id="rId80"/>
    <sheet name="COMM_A001-024-010" sheetId="80" r:id="rId81"/>
    <sheet name="COMM_Dado_cieco_M8_DIN__1587" sheetId="81" r:id="rId82"/>
    <sheet name="COMM_DADO_FLANGIATO__M8" sheetId="82" r:id="rId83"/>
    <sheet name="COMM_A001-025-002KOREA" sheetId="83" r:id="rId84"/>
    <sheet name="COMM_OR4061" sheetId="84" r:id="rId8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2" i="1"/>
  <c r="M3" i="1"/>
  <c r="M4" i="1"/>
  <c r="M5" i="1"/>
  <c r="M6" i="1"/>
  <c r="M7" i="1"/>
  <c r="M8" i="1"/>
  <c r="M9" i="1"/>
  <c r="M10" i="1"/>
  <c r="M11" i="1"/>
  <c r="M12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K120" i="1"/>
  <c r="K119" i="1"/>
  <c r="K118" i="1"/>
  <c r="K116" i="1"/>
  <c r="K115" i="1"/>
  <c r="K113" i="1"/>
  <c r="K112" i="1"/>
  <c r="K110" i="1"/>
  <c r="K109" i="1"/>
  <c r="K107" i="1"/>
  <c r="K105" i="1"/>
  <c r="K104" i="1"/>
  <c r="K103" i="1"/>
  <c r="K101" i="1"/>
  <c r="K99" i="1"/>
  <c r="K98" i="1"/>
  <c r="K97" i="1"/>
  <c r="K96" i="1"/>
  <c r="K95" i="1"/>
  <c r="K94" i="1"/>
  <c r="K93" i="1"/>
  <c r="K92" i="1"/>
  <c r="K91" i="1"/>
  <c r="K90" i="1"/>
  <c r="K89" i="1"/>
  <c r="K88" i="1"/>
  <c r="K86" i="1"/>
  <c r="K85" i="1"/>
  <c r="K84" i="1"/>
  <c r="K83" i="1"/>
  <c r="K82" i="1"/>
  <c r="K81" i="1"/>
  <c r="K80" i="1"/>
  <c r="K79" i="1"/>
  <c r="K78" i="1"/>
  <c r="K77" i="1"/>
  <c r="K75" i="1"/>
  <c r="K74" i="1"/>
  <c r="K73" i="1"/>
  <c r="K70" i="1"/>
  <c r="K69" i="1"/>
  <c r="K68" i="1"/>
  <c r="K66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5" i="1"/>
  <c r="K34" i="1"/>
  <c r="K33" i="1"/>
  <c r="K30" i="1"/>
  <c r="K29" i="1"/>
  <c r="K28" i="1"/>
  <c r="K26" i="1"/>
  <c r="K24" i="1"/>
  <c r="K22" i="1"/>
  <c r="K21" i="1"/>
  <c r="K20" i="1"/>
  <c r="K19" i="1"/>
  <c r="K18" i="1"/>
  <c r="K15" i="1"/>
  <c r="K14" i="1"/>
  <c r="K9" i="1"/>
  <c r="K7" i="1"/>
  <c r="K6" i="1"/>
  <c r="K5" i="1"/>
  <c r="K4" i="1"/>
  <c r="K3" i="1"/>
  <c r="K2" i="1"/>
  <c r="M121" i="1" l="1"/>
  <c r="K121" i="1"/>
</calcChain>
</file>

<file path=xl/sharedStrings.xml><?xml version="1.0" encoding="utf-8"?>
<sst xmlns="http://schemas.openxmlformats.org/spreadsheetml/2006/main" count="1649" uniqueCount="405">
  <si>
    <t>Num. parte</t>
  </si>
  <si>
    <t>Descrizione</t>
  </si>
  <si>
    <t>Peso [g]</t>
  </si>
  <si>
    <t>Materiale</t>
  </si>
  <si>
    <t>Costo[€]</t>
  </si>
  <si>
    <t>P001-025-001B</t>
  </si>
  <si>
    <t xml:space="preserve">CORPO FLUIDO </t>
  </si>
  <si>
    <t>PTFE 
generico</t>
  </si>
  <si>
    <t>P001-025-002</t>
  </si>
  <si>
    <t>GABBIA SUP.DQS 100/125</t>
  </si>
  <si>
    <t xml:space="preserve">PTFE modificato* </t>
  </si>
  <si>
    <t>P001-024-019B</t>
  </si>
  <si>
    <t>GABBIA INF. DQS 100/125</t>
  </si>
  <si>
    <t>P001-025-003</t>
  </si>
  <si>
    <t xml:space="preserve">TAPPO SUP.CORPO FLUIDO </t>
  </si>
  <si>
    <t>P001-024-008B</t>
  </si>
  <si>
    <t>SEDE SFERA DQS 100/125</t>
  </si>
  <si>
    <t>SF030</t>
  </si>
  <si>
    <t xml:space="preserve">SFERA ø 30 </t>
  </si>
  <si>
    <t>A001-024-006</t>
  </si>
  <si>
    <t>VNR SEGNALE DQS 100/125</t>
  </si>
  <si>
    <t>7.1</t>
  </si>
  <si>
    <t xml:space="preserve">  P001-024-031</t>
  </si>
  <si>
    <t>CORPO VNR SEGNALE 
DQS100/125</t>
  </si>
  <si>
    <t>POM-C</t>
  </si>
  <si>
    <t>7.2</t>
  </si>
  <si>
    <t>Spina 1 x 6</t>
  </si>
  <si>
    <t>SPINA 1 X 4</t>
  </si>
  <si>
    <t>7.3</t>
  </si>
  <si>
    <t xml:space="preserve">  SF1-8</t>
  </si>
  <si>
    <t xml:space="preserve">SFERA 1/8" </t>
  </si>
  <si>
    <t>AISI304</t>
  </si>
  <si>
    <t>7.4</t>
  </si>
  <si>
    <t xml:space="preserve">  OR2021</t>
  </si>
  <si>
    <t>A001-024-011</t>
  </si>
  <si>
    <t>ELEMENTO DI PASSAGIO ALIM. 
MEMBRANE</t>
  </si>
  <si>
    <t>8.1</t>
  </si>
  <si>
    <t xml:space="preserve">  P001-024-052</t>
  </si>
  <si>
    <t>CORPO ELEMENTO DI PASSAGIO ALIM. 
MEMBRANE</t>
  </si>
  <si>
    <t>8.2</t>
  </si>
  <si>
    <t xml:space="preserve">  OR2043</t>
  </si>
  <si>
    <t>A001-024-002</t>
  </si>
  <si>
    <t>DISTRIBUTORE DQS 100/125</t>
  </si>
  <si>
    <t>9.1</t>
  </si>
  <si>
    <t>OR 3100</t>
  </si>
  <si>
    <t>9.2</t>
  </si>
  <si>
    <t xml:space="preserve">  P001-024-028</t>
  </si>
  <si>
    <t>TENUTA DISTRIBUTORE DQS100-
125</t>
  </si>
  <si>
    <t>PE UHMW</t>
  </si>
  <si>
    <t>9.3</t>
  </si>
  <si>
    <t xml:space="preserve">  P001-024-012A</t>
  </si>
  <si>
    <t>ROCCHETTO DISTRIBUTORE 
DQS100-125</t>
  </si>
  <si>
    <t>9.4</t>
  </si>
  <si>
    <t xml:space="preserve">  P001-024-010A</t>
  </si>
  <si>
    <t>SPOLA DISTRIBUTORE DQS100-
125</t>
  </si>
  <si>
    <t>9.5</t>
  </si>
  <si>
    <t xml:space="preserve">  
941625X19X3J5PO00</t>
  </si>
  <si>
    <t>TENUTA A LABBRO DISTRIBUTORE DQS 100-125</t>
  </si>
  <si>
    <t>PU</t>
  </si>
  <si>
    <t>9.6</t>
  </si>
  <si>
    <t xml:space="preserve">  P001-024-011</t>
  </si>
  <si>
    <t>TAPPO DI TESTA DISTRIBUTORE 
DQS100-125</t>
  </si>
  <si>
    <t>9.7</t>
  </si>
  <si>
    <t>OR 2106</t>
  </si>
  <si>
    <t>P001-024-016</t>
  </si>
  <si>
    <t>ANELLO DI ARRESTO 
DISTRIBUTORE DQS 100/125</t>
  </si>
  <si>
    <t>A001-024-007A</t>
  </si>
  <si>
    <t>TESTATA LATO SINISTRO</t>
  </si>
  <si>
    <t>11.1</t>
  </si>
  <si>
    <t xml:space="preserve">  P001-024-021B</t>
  </si>
  <si>
    <t xml:space="preserve">CORPO SX LATO ARIA </t>
  </si>
  <si>
    <t>11.2</t>
  </si>
  <si>
    <t xml:space="preserve">  A001-024-005E</t>
  </si>
  <si>
    <t>CARTUCCIONE DQS100/125</t>
  </si>
  <si>
    <t>11.2.1</t>
  </si>
  <si>
    <t xml:space="preserve">    P001-024-022D</t>
  </si>
  <si>
    <t>CORPO CARTUCCIONE DQS100/125</t>
  </si>
  <si>
    <t>11.2.2</t>
  </si>
  <si>
    <t xml:space="preserve">    P001-024-023D</t>
  </si>
  <si>
    <t>CORPO CARTUCCINO DQS100/125</t>
  </si>
  <si>
    <t>POM 
generico</t>
  </si>
  <si>
    <t>11.2.3</t>
  </si>
  <si>
    <t xml:space="preserve">    P001-024-024D</t>
  </si>
  <si>
    <t>PISPOLO CARTUCCINO DQS100/125</t>
  </si>
  <si>
    <t>11.2.4</t>
  </si>
  <si>
    <t xml:space="preserve">    C0975-074-0875S 
D20</t>
  </si>
  <si>
    <t xml:space="preserve">MOLLA DI TENUTA </t>
  </si>
  <si>
    <t>AISI 302</t>
  </si>
  <si>
    <t>11.2.5</t>
  </si>
  <si>
    <t xml:space="preserve">    SF1-8</t>
  </si>
  <si>
    <t>SFERA 1/8" AISI304</t>
  </si>
  <si>
    <t>11.2.6</t>
  </si>
  <si>
    <t xml:space="preserve">    VNR5</t>
  </si>
  <si>
    <t>VNR5</t>
  </si>
  <si>
    <t>11.2.6.1</t>
  </si>
  <si>
    <t xml:space="preserve">      CORPO VNR</t>
  </si>
  <si>
    <t>Ottone</t>
  </si>
  <si>
    <t>11.2.6.2</t>
  </si>
  <si>
    <t xml:space="preserve">      SF001J5</t>
  </si>
  <si>
    <t>SFERA DIAM 1,5</t>
  </si>
  <si>
    <t>AISI 316L</t>
  </si>
  <si>
    <t>11.2.6.3</t>
  </si>
  <si>
    <t xml:space="preserve">      ISO 2338 - 1 m6 x 
4 - St</t>
  </si>
  <si>
    <t>SPINA M6x4</t>
  </si>
  <si>
    <t>11.2.7</t>
  </si>
  <si>
    <t xml:space="preserve">    OR2081</t>
  </si>
  <si>
    <t>11.2.8</t>
  </si>
  <si>
    <t xml:space="preserve">    OR2087</t>
  </si>
  <si>
    <t>11.2.9</t>
  </si>
  <si>
    <t xml:space="preserve">    P001-024-032</t>
  </si>
  <si>
    <t xml:space="preserve">CORPO D'ARRESTO FINE CORSA PISPOLO </t>
  </si>
  <si>
    <t>11.2.10</t>
  </si>
  <si>
    <t xml:space="preserve">    OR108</t>
  </si>
  <si>
    <t>11.2.11</t>
  </si>
  <si>
    <t xml:space="preserve">    P001-024-037</t>
  </si>
  <si>
    <t>TAPPO CARTUCCIONE DQS100/125</t>
  </si>
  <si>
    <t>POM-C 
nero</t>
  </si>
  <si>
    <t>11.2.12</t>
  </si>
  <si>
    <t xml:space="preserve">    OR2021</t>
  </si>
  <si>
    <t>11.2.13</t>
  </si>
  <si>
    <t xml:space="preserve">    OR2187</t>
  </si>
  <si>
    <t>11.2.14</t>
  </si>
  <si>
    <t xml:space="preserve">    P001-024-035</t>
  </si>
  <si>
    <t>PATTINO BATTUTA PISPOLO DQS100/125</t>
  </si>
  <si>
    <t>PE A DENSITA' ALTA</t>
  </si>
  <si>
    <t>11.2.15</t>
  </si>
  <si>
    <t xml:space="preserve">    OR2031</t>
  </si>
  <si>
    <t>11.2.16</t>
  </si>
  <si>
    <t xml:space="preserve">    P001-024-036</t>
  </si>
  <si>
    <t>PATTINO TESTA  PISPOLO DQS100/125</t>
  </si>
  <si>
    <t>11.2.17</t>
  </si>
  <si>
    <t xml:space="preserve">    SF3-32</t>
  </si>
  <si>
    <t xml:space="preserve">SFERA TAPPO CARTUCCINO </t>
  </si>
  <si>
    <t>AISI 304</t>
  </si>
  <si>
    <t>11.3</t>
  </si>
  <si>
    <t xml:space="preserve">  P001-024-025B</t>
  </si>
  <si>
    <t>COPERCHIO SILENZIATORE</t>
  </si>
  <si>
    <t>11.4</t>
  </si>
  <si>
    <t xml:space="preserve">  P001-024-026</t>
  </si>
  <si>
    <t>GHIERA BLOCCAGGIO 
TASTATORE - COPERCHIO 
SILENZIATORE</t>
  </si>
  <si>
    <t>11.5</t>
  </si>
  <si>
    <t xml:space="preserve">  P001-024-042</t>
  </si>
  <si>
    <t>TAPPO CHIUSURA CANALI 
SEGNALE</t>
  </si>
  <si>
    <t>11.6</t>
  </si>
  <si>
    <t xml:space="preserve">  P001-024-041A</t>
  </si>
  <si>
    <t>Silenziatore sinterizzato DQS 
Ripresoi</t>
  </si>
  <si>
    <t xml:space="preserve">PE ESPANSO </t>
  </si>
  <si>
    <t>11.7</t>
  </si>
  <si>
    <t xml:space="preserve">  P001-024-043</t>
  </si>
  <si>
    <t>GUARNIZIONE SPECIALE PER VSR 
POMPA QT 160</t>
  </si>
  <si>
    <t>PUR</t>
  </si>
  <si>
    <t>11.8</t>
  </si>
  <si>
    <t xml:space="preserve">  P001-024-044</t>
  </si>
  <si>
    <t>RISCONTRO PER VALVOLA DI 
SCARICO RAPIDO DQT 160</t>
  </si>
  <si>
    <t>PET</t>
  </si>
  <si>
    <t>11.9</t>
  </si>
  <si>
    <t xml:space="preserve">  P001-024-045</t>
  </si>
  <si>
    <t>COLLEGAMENTO DI CARICO 
POMPA DQT 160</t>
  </si>
  <si>
    <t>11.10</t>
  </si>
  <si>
    <t xml:space="preserve">  OR3118</t>
  </si>
  <si>
    <t>11.11</t>
  </si>
  <si>
    <t xml:space="preserve">  OR4287</t>
  </si>
  <si>
    <t>11.12</t>
  </si>
  <si>
    <t xml:space="preserve">  OR3200</t>
  </si>
  <si>
    <t>11.13</t>
  </si>
  <si>
    <t xml:space="preserve">  OR2200</t>
  </si>
  <si>
    <t>11.14</t>
  </si>
  <si>
    <t xml:space="preserve">  P001-024-054</t>
  </si>
  <si>
    <t>TAPPO CONICO G 3/8</t>
  </si>
  <si>
    <t>P001-024-002B</t>
  </si>
  <si>
    <t>BOCCOLA GUIDA ALBERO</t>
  </si>
  <si>
    <t>TFM (PTFE 
MODIFIC
ATO)</t>
  </si>
  <si>
    <t>P001-024-004</t>
  </si>
  <si>
    <t>ALBERO DQS 100/125</t>
  </si>
  <si>
    <t>PFA</t>
  </si>
  <si>
    <t>P001-024-005</t>
  </si>
  <si>
    <t>CAPPELLOTTO DQS 100/125</t>
  </si>
  <si>
    <t>375923KE00</t>
  </si>
  <si>
    <t>MEMBRANA DI BACKUP PER 
POMPA QT 160</t>
  </si>
  <si>
    <t>KEYFLEX</t>
  </si>
  <si>
    <t>P001-024-038</t>
  </si>
  <si>
    <t>MEMBRANA LATO FLUIDO 
PER POMPA QT 160</t>
  </si>
  <si>
    <t>TFM(PTFE 
MODIFIC
ATO)</t>
  </si>
  <si>
    <t>A001-024-003C</t>
  </si>
  <si>
    <t>TESTATA LATO DESTRO</t>
  </si>
  <si>
    <t>17.1</t>
  </si>
  <si>
    <t xml:space="preserve">  P001-024-015C</t>
  </si>
  <si>
    <t>CORPO TESTATA LATO DESTRO 
DQS 100/125</t>
  </si>
  <si>
    <t>17.2</t>
  </si>
  <si>
    <t>17.2.1</t>
  </si>
  <si>
    <t>17.2.2</t>
  </si>
  <si>
    <t>17.2.3</t>
  </si>
  <si>
    <t>17.2.4</t>
  </si>
  <si>
    <t>17.2.5</t>
  </si>
  <si>
    <t>17.2.6</t>
  </si>
  <si>
    <t>17.2.6.1</t>
  </si>
  <si>
    <t>17.2.6.2</t>
  </si>
  <si>
    <t>17.2.6.3</t>
  </si>
  <si>
    <t>17.2.7</t>
  </si>
  <si>
    <t>17.2.8</t>
  </si>
  <si>
    <t>17.2.9</t>
  </si>
  <si>
    <t>17.2.10</t>
  </si>
  <si>
    <t>17.2.11</t>
  </si>
  <si>
    <t>17.2.12</t>
  </si>
  <si>
    <t>17.2.13</t>
  </si>
  <si>
    <t>17.2.14</t>
  </si>
  <si>
    <t>17.2.15</t>
  </si>
  <si>
    <t>17.2.16</t>
  </si>
  <si>
    <t>17.2.17</t>
  </si>
  <si>
    <t>17.3</t>
  </si>
  <si>
    <t>17.4</t>
  </si>
  <si>
    <t>17.6</t>
  </si>
  <si>
    <t>17.5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</si>
  <si>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</si>
  <si>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</si>
  <si>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</si>
  <si>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</si>
  <si>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</si>
  <si>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</si>
  <si>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</si>
  <si>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</si>
  <si>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A001-025-003KOREA</t>
  </si>
  <si>
    <t>ASSIEME TIRANTE ANCORAGGIO  
DQS 100/125</t>
  </si>
  <si>
    <t>18.1</t>
  </si>
  <si>
    <t xml:space="preserve">  P001-025-008KOREA</t>
  </si>
  <si>
    <t>TIRANTE BLOCCAGGIO POMPA</t>
  </si>
  <si>
    <t>18.2</t>
  </si>
  <si>
    <t xml:space="preserve">  A001-024-009</t>
  </si>
  <si>
    <t xml:space="preserve">TAPPO TIRANTE FLANGIATO </t>
  </si>
  <si>
    <t>ETFE / PP-
GF30 / 
PVDF-
CFF15</t>
  </si>
  <si>
    <t>18.2.1</t>
  </si>
  <si>
    <t xml:space="preserve">    P001-024-046</t>
  </si>
  <si>
    <t xml:space="preserve">DADO CON RIVOLUZIONE  TIRANTE </t>
  </si>
  <si>
    <t>Al</t>
  </si>
  <si>
    <t>18.2.2</t>
  </si>
  <si>
    <t xml:space="preserve">    P001-024-047</t>
  </si>
  <si>
    <t>TAPPO FLANGIATO TIRANTE</t>
  </si>
  <si>
    <t>PP GF30</t>
  </si>
  <si>
    <t>18.3</t>
  </si>
  <si>
    <t xml:space="preserve">  P001-025-009KOREA</t>
  </si>
  <si>
    <t>PROTEZIONE TIRANTE 
BLOCCAGGIO DQS 125</t>
  </si>
  <si>
    <t>A001-024-010</t>
  </si>
  <si>
    <t>ASSIEME TIRANTE CORPO 
POMPA DQS 100/125</t>
  </si>
  <si>
    <t>19.1</t>
  </si>
  <si>
    <t xml:space="preserve">  RST M8x3</t>
  </si>
  <si>
    <t>ROSETTA TIRANTE CORPO M8x3</t>
  </si>
  <si>
    <t>AISI3 304</t>
  </si>
  <si>
    <t>19.2</t>
  </si>
  <si>
    <t xml:space="preserve">  Dado cieco M8 DIN 
1587 </t>
  </si>
  <si>
    <t xml:space="preserve">Dado cieco M8 DIN 1587 </t>
  </si>
  <si>
    <t>19.3</t>
  </si>
  <si>
    <t xml:space="preserve">  P001-024-050</t>
  </si>
  <si>
    <t>TIRANTE ASSEMBLAGGIO DQS 
125</t>
  </si>
  <si>
    <t>19.4</t>
  </si>
  <si>
    <t xml:space="preserve">  P001-024-051</t>
  </si>
  <si>
    <t>PROTEZIONE TIRANTE 
ASSEMBLAGGIO DQS 125</t>
  </si>
  <si>
    <t>DADO FLANGIATO 
M8</t>
  </si>
  <si>
    <t>DADO FLANGIATO M8</t>
  </si>
  <si>
    <t>9TTP40J6PELD</t>
  </si>
  <si>
    <t>TAPPO 40,6</t>
  </si>
  <si>
    <t>PE HD</t>
  </si>
  <si>
    <t>9TTP25J5PELD</t>
  </si>
  <si>
    <t>TAPPO  25,5</t>
  </si>
  <si>
    <t>A001-025-002KOREA</t>
  </si>
  <si>
    <t>ASSIEME BASE ANCORAGGIO 
DQS 100/125</t>
  </si>
  <si>
    <t>23.1</t>
  </si>
  <si>
    <t xml:space="preserve">  P001-024-039</t>
  </si>
  <si>
    <t>BASE DQS100 - DQS125</t>
  </si>
  <si>
    <t>23.2</t>
  </si>
  <si>
    <t xml:space="preserve">  P001-025-004</t>
  </si>
  <si>
    <t>DISTANZIALE BASE DQS 100/125</t>
  </si>
  <si>
    <t>23.3</t>
  </si>
  <si>
    <t xml:space="preserve">  DADO FLANGIATO 
M8</t>
  </si>
  <si>
    <t>23.4</t>
  </si>
  <si>
    <t xml:space="preserve">  OR4061</t>
  </si>
  <si>
    <t>OR4061 3,53 X 15,47</t>
  </si>
  <si>
    <t>P001-025-007</t>
  </si>
  <si>
    <t>ISOLA SCRITTURA MATRICOLA 
DQS 100/125</t>
  </si>
  <si>
    <t>PM012216E</t>
  </si>
  <si>
    <t>RACCORDO JG 1/2" X 12</t>
  </si>
  <si>
    <t>POM-C 
NERO</t>
  </si>
  <si>
    <t>Costo materiale [€/kg]</t>
  </si>
  <si>
    <t>⇦ Torna alla DB</t>
  </si>
  <si>
    <t>Ultima modifica: 26/09/2025</t>
  </si>
  <si>
    <t>Fase</t>
  </si>
  <si>
    <t>Descrizione fase</t>
  </si>
  <si>
    <t>Tipo</t>
  </si>
  <si>
    <t>Fornitore</t>
  </si>
  <si>
    <t>Codice fornitore</t>
  </si>
  <si>
    <t>Centro</t>
  </si>
  <si>
    <t>Costo lavorazione
[€/pz]</t>
  </si>
  <si>
    <t>Lead time medio
[gg]</t>
  </si>
  <si>
    <t>Note</t>
  </si>
  <si>
    <t>Taglio</t>
  </si>
  <si>
    <t>Esterna</t>
  </si>
  <si>
    <t>ce</t>
  </si>
  <si>
    <t>100 (HERMLE C42U)</t>
  </si>
  <si>
    <t>Tornitura</t>
  </si>
  <si>
    <t>csdvc</t>
  </si>
  <si>
    <t xml:space="preserve">Fresatura </t>
  </si>
  <si>
    <t>Interna</t>
  </si>
  <si>
    <t>101 (Sigma Compact 5)</t>
  </si>
  <si>
    <t>P001-024-031</t>
  </si>
  <si>
    <t>P001-024-052</t>
  </si>
  <si>
    <t>P001-024-028</t>
  </si>
  <si>
    <t>P001-024-012A</t>
  </si>
  <si>
    <t>P001-024-010A</t>
  </si>
  <si>
    <t>P001-024-011</t>
  </si>
  <si>
    <t>P001-024-021B</t>
  </si>
  <si>
    <t>P001-024-022D</t>
  </si>
  <si>
    <t>P001-024-023D</t>
  </si>
  <si>
    <t>P001-024-024D</t>
  </si>
  <si>
    <t>C0975-074-0875S 
D20</t>
  </si>
  <si>
    <t>CORPO VNR</t>
  </si>
  <si>
    <t>ISO 2338 - 1 m6 x 
4 - St</t>
  </si>
  <si>
    <t>P001-024-032</t>
  </si>
  <si>
    <t>P001-024-037</t>
  </si>
  <si>
    <t>P001-024-035</t>
  </si>
  <si>
    <t>P001-024-036</t>
  </si>
  <si>
    <t>P001-024-025B</t>
  </si>
  <si>
    <t>P001-024-026</t>
  </si>
  <si>
    <t>P001-024-042</t>
  </si>
  <si>
    <t>P001-024-041A</t>
  </si>
  <si>
    <t>P001-024-043</t>
  </si>
  <si>
    <t>P001-024-044</t>
  </si>
  <si>
    <t>P001-024-045</t>
  </si>
  <si>
    <t>P001-024-054</t>
  </si>
  <si>
    <t>P001-024-015C</t>
  </si>
  <si>
    <t>P001-025-008KOREA</t>
  </si>
  <si>
    <t>P001-024-046</t>
  </si>
  <si>
    <t>P001-024-047</t>
  </si>
  <si>
    <t>P001-025-009KOREA</t>
  </si>
  <si>
    <t>RST M8x3</t>
  </si>
  <si>
    <t>P001-024-050</t>
  </si>
  <si>
    <t>P001-024-051</t>
  </si>
  <si>
    <t>Num. Parte</t>
  </si>
  <si>
    <t>P001-024-039</t>
  </si>
  <si>
    <t>P001-025-004</t>
  </si>
  <si>
    <t>Compila i campi per la parte commerciale</t>
  </si>
  <si>
    <t>Prezzo
[€/pz]</t>
  </si>
  <si>
    <t>Lotto minimo riordino
[pz]</t>
  </si>
  <si>
    <t>SFERA ø 30 -- PTFE 
generico</t>
  </si>
  <si>
    <t>spina 1 x 6</t>
  </si>
  <si>
    <t>SF1-8</t>
  </si>
  <si>
    <t>SFERA 1/8" AISI304 -- AISI304</t>
  </si>
  <si>
    <t>OR2021</t>
  </si>
  <si>
    <t>OR2043</t>
  </si>
  <si>
    <t>or 3100</t>
  </si>
  <si>
    <t>941625X19X3J5PO00</t>
  </si>
  <si>
    <t>TENUTA A LABBRO DISTRIBUTORE DQS 100-125 -- PU</t>
  </si>
  <si>
    <t>or 2106</t>
  </si>
  <si>
    <t>A001-024-005E</t>
  </si>
  <si>
    <t>SF001J5</t>
  </si>
  <si>
    <t>SFERA DIAM 1,5 -- AISI 316L</t>
  </si>
  <si>
    <t>OR2081</t>
  </si>
  <si>
    <t>OR2087</t>
  </si>
  <si>
    <t>OR108</t>
  </si>
  <si>
    <t>OR2187</t>
  </si>
  <si>
    <t>OR2031</t>
  </si>
  <si>
    <t>SF3-32</t>
  </si>
  <si>
    <t>SFERA TAPPO CARTUCCINO -- AISI 304</t>
  </si>
  <si>
    <t>OR3118</t>
  </si>
  <si>
    <t>OR4287</t>
  </si>
  <si>
    <t>OR3200</t>
  </si>
  <si>
    <t>OR2200</t>
  </si>
  <si>
    <t>A001-024-009</t>
  </si>
  <si>
    <t>TAPPO TIRANTE FLANGIATO -- ETFE / PP-
GF30 / 
PVDF-
CFF15</t>
  </si>
  <si>
    <t>Dado_cieco_M8_DIN__1587</t>
  </si>
  <si>
    <t>Dado cieco M8 DIN 1587 -- AISI 316L</t>
  </si>
  <si>
    <t>DADO_FLANGIATO__M8</t>
  </si>
  <si>
    <t>DADO FLANGIATO M8 -- AISI 316L</t>
  </si>
  <si>
    <t>OR4061</t>
  </si>
  <si>
    <t>COSTO TOTALE [€]</t>
  </si>
  <si>
    <t>Num. 
Articolo</t>
  </si>
  <si>
    <t>tornitura</t>
  </si>
  <si>
    <t>argal</t>
  </si>
  <si>
    <t>fresatura</t>
  </si>
  <si>
    <t>Fresatura 1 parte</t>
  </si>
  <si>
    <t>Fresatura 2 parte</t>
  </si>
  <si>
    <t xml:space="preserve">documetazione </t>
  </si>
  <si>
    <t>qualita</t>
  </si>
  <si>
    <t>certificato di qualità</t>
  </si>
  <si>
    <t>3,1 materiale</t>
  </si>
  <si>
    <t>step</t>
  </si>
  <si>
    <t>tavola</t>
  </si>
  <si>
    <t>m</t>
  </si>
  <si>
    <t>Colonna1</t>
  </si>
  <si>
    <t>b</t>
  </si>
  <si>
    <t>TEST</t>
  </si>
  <si>
    <t>Quantità per 100 pompe</t>
  </si>
  <si>
    <t xml:space="preserve">Dimensione 1 Grezzo </t>
  </si>
  <si>
    <t xml:space="preserve">Dimensione 2 Grezzo </t>
  </si>
  <si>
    <t>Dimensione 3 Grezzo</t>
  </si>
  <si>
    <t xml:space="preserve">Forma grezzo </t>
  </si>
  <si>
    <t>Lastra</t>
  </si>
  <si>
    <t xml:space="preserve">Cilindro </t>
  </si>
  <si>
    <t xml:space="preserve">DQS100-125 Ø55 </t>
  </si>
  <si>
    <t>DQS100 = 87 || DQS125 = 103</t>
  </si>
  <si>
    <t>DQS100/DQS125 = 106</t>
  </si>
  <si>
    <t>Ø51</t>
  </si>
  <si>
    <t>33 mm</t>
  </si>
  <si>
    <t xml:space="preserve">BOCCOLA GUIDA ALBERO </t>
  </si>
  <si>
    <t xml:space="preserve">GABBIA SUP.DQS 100/125 </t>
  </si>
  <si>
    <t xml:space="preserve">GABBIA INF. DQS 100/125 </t>
  </si>
  <si>
    <t>Quantità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</si>
</sst>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2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2"/>
      <color theme="10"/>
      <name val="Aptos Narrow"/>
      <family val="2"/>
      <scheme val="minor"/>
    </font>
    <font>
      <i/>
      <sz val="11"/>
      <color theme="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i/>
      <sz val="11"/>
      <color rgb="FF888888"/>
      <name val="Aptos Narrow"/>
      <family val="2"/>
    </font>
    <font>
      <sz val="11"/>
      <color rgb="FF00B05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888888"/>
      <name val="Calibri"/>
      <family val="2"/>
    </font>
    <font>
      <b/>
      <sz val="11"/>
      <name val="Calibri"/>
      <family val="2"/>
    </font>
    <font>
      <b/>
      <sz val="11"/>
      <color rgb="FFFFFFFF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9"/>
      <name val="Calibri"/>
      <family val="2"/>
    </font>
    <font>
      <i/>
      <sz val="11"/>
      <color theme="1"/>
      <name val="Aptos Narrow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3"/>
    <xf numFmtId="0" fontId="4" fillId="0" borderId="3"/>
  </cellStyleXfs>
  <cellXfs count="48">
    <xf numFmtId="0" fontId="0" fillId="0" borderId="0" xfId="0" applyBorder="1"/>
    <xf numFmtId="0" fontId="1" fillId="0" borderId="0" xfId="0" applyFont="1" applyBorder="1"/>
    <xf numFmtId="1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7" fillId="0" borderId="0" xfId="0" applyFont="1" applyBorder="1"/>
    <xf numFmtId="0" fontId="6" fillId="0" borderId="3" xfId="0" applyFont="1"/>
    <xf numFmtId="0" fontId="6" fillId="0" borderId="3" xfId="1" applyFont="1"/>
    <xf numFmtId="0" fontId="8" fillId="0" borderId="0" xfId="0" applyFont="1" applyBorder="1"/>
    <xf numFmtId="0" fontId="9" fillId="0" borderId="0" xfId="1" applyFont="1" applyBorder="1"/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11" fillId="0" borderId="0" xfId="1" applyFont="1" applyBorder="1" applyAlignment="1">
      <alignment horizontal="left" vertical="center"/>
    </xf>
    <xf numFmtId="0" fontId="11" fillId="0" borderId="0" xfId="1" applyFont="1" applyBorder="1"/>
    <xf numFmtId="0" fontId="13" fillId="0" borderId="0" xfId="0" applyFont="1" applyBorder="1"/>
    <xf numFmtId="0" fontId="11" fillId="0" borderId="0" xfId="0" applyFont="1" applyBorder="1"/>
    <xf numFmtId="0" fontId="12" fillId="0" borderId="0" xfId="0" applyFont="1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15" fillId="0" borderId="3" xfId="0" applyFont="1"/>
    <xf numFmtId="0" fontId="16" fillId="0" borderId="0" xfId="0" applyFont="1" applyBorder="1"/>
    <xf numFmtId="0" fontId="1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0" xfId="1" applyFont="1" applyBorder="1"/>
    <xf numFmtId="0" fontId="10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21" fillId="0" borderId="0" xfId="1" applyFont="1" applyBorder="1" applyAlignment="1">
      <alignment horizontal="left" vertical="center"/>
    </xf>
    <xf numFmtId="0" fontId="22" fillId="0" borderId="0" xfId="1" applyFont="1" applyBorder="1"/>
    <xf numFmtId="0" fontId="0" fillId="0" borderId="3" xfId="0"/>
    <xf numFmtId="0" fontId="25" fillId="0" borderId="0" xfId="0" applyFont="1" applyBorder="1"/>
    <xf numFmtId="0" fontId="10" fillId="0" borderId="3" xfId="0" applyFont="1"/>
    <xf numFmtId="0" fontId="10" fillId="6" borderId="0" xfId="0" applyFont="1" applyFill="1" applyBorder="1" applyAlignment="1">
      <alignment horizontal="left"/>
    </xf>
    <xf numFmtId="0" fontId="11" fillId="6" borderId="0" xfId="1" applyFont="1" applyFill="1" applyBorder="1" applyAlignment="1">
      <alignment horizontal="left" vertical="center"/>
    </xf>
    <xf numFmtId="0" fontId="10" fillId="6" borderId="0" xfId="0" applyFont="1" applyFill="1" applyBorder="1"/>
    <xf numFmtId="0" fontId="0" fillId="6" borderId="0" xfId="0" applyFill="1" applyBorder="1"/>
    <xf numFmtId="0" fontId="0" fillId="6" borderId="3" xfId="0" applyFill="1"/>
    <xf numFmtId="0" fontId="10" fillId="6" borderId="3" xfId="0" applyFont="1" applyFill="1"/>
    <xf numFmtId="0" fontId="10" fillId="0" borderId="3" xfId="0" applyFont="1" applyAlignment="1">
      <alignment horizontal="left"/>
    </xf>
    <xf numFmtId="0" fontId="23" fillId="0" borderId="3" xfId="0" applyFont="1"/>
    <xf numFmtId="0" fontId="14" fillId="2" borderId="3" xfId="0" applyFont="1" applyFill="1" applyAlignment="1">
      <alignment horizontal="center" vertical="center"/>
    </xf>
    <xf numFmtId="0" fontId="0" fillId="0" borderId="0" xfId="0" applyBorder="1"/>
  </cellXfs>
  <cellStyles count="2">
    <cellStyle name="Collegamento ipertestuale" xfId="1" builtinId="8"/>
    <cellStyle name="Normale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alignment horizontal="left" vertical="center"/>
    </dxf>
    <dxf>
      <font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M121" totalsRowCount="1">
  <autoFilter ref="A1:M120" xr:uid="{00000000-0009-0000-0100-000001000000}"/>
  <tableColumns count="13">
    <tableColumn id="1" xr3:uid="{00000000-0010-0000-0000-000001000000}" name="Num. _x000a_Articolo" dataDxfId="20" totalsRowDxfId="12"/>
    <tableColumn id="2" xr3:uid="{00000000-0010-0000-0000-000002000000}" name="Num. parte" dataDxfId="19" totalsRowDxfId="11"/>
    <tableColumn id="3" xr3:uid="{00000000-0010-0000-0000-000003000000}" name="Descrizione" totalsRowDxfId="10"/>
    <tableColumn id="14" xr3:uid="{8F85CA88-C736-4024-A148-CE03BFA80381}" name="Forma grezzo " dataDxfId="18" totalsRowDxfId="9"/>
    <tableColumn id="8" xr3:uid="{CCD64BBD-5CE2-4EE6-97AA-C400C52A7B90}" name="Dimensione 1 Grezzo " dataDxfId="17" totalsRowDxfId="8"/>
    <tableColumn id="11" xr3:uid="{A2E15F1D-2F18-4418-B5E0-5FD05F567962}" name="Dimensione 2 Grezzo " dataDxfId="16" totalsRowDxfId="7"/>
    <tableColumn id="12" xr3:uid="{E7AF3A78-BECE-4A88-9676-D7BCB6B744F3}" name="Dimensione 3 Grezzo" dataDxfId="15" totalsRowDxfId="6"/>
    <tableColumn id="4" xr3:uid="{00000000-0010-0000-0000-000004000000}" name="Quantità" totalsRowDxfId="5"/>
    <tableColumn id="5" xr3:uid="{00000000-0010-0000-0000-000005000000}" name="Peso [g]" totalsRowDxfId="4"/>
    <tableColumn id="6" xr3:uid="{00000000-0010-0000-0000-000006000000}" name="Materiale" totalsRowLabel="COSTO TOTALE [€]" totalsRowDxfId="3"/>
    <tableColumn id="9" xr3:uid="{00000000-0010-0000-0000-000009000000}" name="Costo[€]" totalsRowFunction="sum" dataDxfId="14" totalsRowDxfId="2"/>
    <tableColumn id="7" xr3:uid="{50B821E3-1462-4F5F-AC26-4DFEAD7E55DF}" name="Colonna1" totalsRowDxfId="1"/>
    <tableColumn id="10" xr3:uid="{765721B3-63BC-4DCF-A6CB-3A5ABCF3E1CF}" name="Quantità per 100 pompe" totalsRowFunction="sum" dataDxfId="13" totalsRowDxfId="0">
      <calculatedColumnFormula>150*Tabella1[[#This Row],[Quantità]]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001_025_001B" displayName="tbl_P001_025_001B" ref="A3:I30">
  <autoFilter ref="A3:I30" xr:uid="{00000000-0009-0000-0100-000002000000}"/>
  <tableColumns count="9">
    <tableColumn id="1" xr3:uid="{00000000-0010-0000-0100-000001000000}" name="Fase"/>
    <tableColumn id="2" xr3:uid="{00000000-0010-0000-0100-000002000000}" name="Descrizione fase"/>
    <tableColumn id="3" xr3:uid="{00000000-0010-0000-0100-000003000000}" name="Tipo"/>
    <tableColumn id="4" xr3:uid="{00000000-0010-0000-0100-000004000000}" name="Fornitore"/>
    <tableColumn id="5" xr3:uid="{00000000-0010-0000-0100-000005000000}" name="Codice fornitore"/>
    <tableColumn id="6" xr3:uid="{00000000-0010-0000-0100-000006000000}" name="Centro"/>
    <tableColumn id="8" xr3:uid="{00000000-0010-0000-0100-000008000000}" name="Costo lavorazione_x000a_[€/pz]"/>
    <tableColumn id="9" xr3:uid="{00000000-0010-0000-0100-000009000000}" name="Lead time medio_x000a_[gg]"/>
    <tableColumn id="10" xr3:uid="{00000000-0010-0000-0100-00000A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001_025_002" displayName="tbl_P001_025_002" ref="A3:I30">
  <autoFilter ref="A3:I30" xr:uid="{00000000-0009-0000-0100-000003000000}"/>
  <tableColumns count="9">
    <tableColumn id="1" xr3:uid="{00000000-0010-0000-0200-000001000000}" name="Fase"/>
    <tableColumn id="2" xr3:uid="{00000000-0010-0000-0200-000002000000}" name="Descrizione fase"/>
    <tableColumn id="3" xr3:uid="{00000000-0010-0000-0200-000003000000}" name="Tipo"/>
    <tableColumn id="4" xr3:uid="{00000000-0010-0000-0200-000004000000}" name="Fornitore"/>
    <tableColumn id="5" xr3:uid="{00000000-0010-0000-0200-000005000000}" name="Codice fornitore"/>
    <tableColumn id="6" xr3:uid="{00000000-0010-0000-0200-000006000000}" name="Centro"/>
    <tableColumn id="7" xr3:uid="{00000000-0010-0000-0200-000007000000}" name="Costo lavorazione_x000a_[€/pz]"/>
    <tableColumn id="8" xr3:uid="{00000000-0010-0000-0200-000008000000}" name="Lead time medio_x000a_[gg]"/>
    <tableColumn id="9" xr3:uid="{00000000-0010-0000-0200-000009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001_024_019B" displayName="tbl_P001_024_019B" ref="A3:I30">
  <autoFilter ref="A3:I30" xr:uid="{00000000-0009-0000-0100-000004000000}"/>
  <tableColumns count="9">
    <tableColumn id="1" xr3:uid="{00000000-0010-0000-0300-000001000000}" name="Fase"/>
    <tableColumn id="2" xr3:uid="{00000000-0010-0000-0300-000002000000}" name="Descrizione fase"/>
    <tableColumn id="3" xr3:uid="{00000000-0010-0000-0300-000003000000}" name="Tipo"/>
    <tableColumn id="4" xr3:uid="{00000000-0010-0000-0300-000004000000}" name="Fornitore"/>
    <tableColumn id="5" xr3:uid="{00000000-0010-0000-0300-000005000000}" name="Codice fornitore"/>
    <tableColumn id="6" xr3:uid="{00000000-0010-0000-0300-000006000000}" name="Centro"/>
    <tableColumn id="7" xr3:uid="{00000000-0010-0000-0300-000007000000}" name="Costo lavorazione_x000a_[€/pz]"/>
    <tableColumn id="8" xr3:uid="{00000000-0010-0000-0300-000008000000}" name="Lead time medio_x000a_[gg]"/>
    <tableColumn id="9" xr3:uid="{00000000-0010-0000-0300-000009000000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001_025_003" displayName="tbl_P001_025_003" ref="A3:I30">
  <autoFilter ref="A3:I30" xr:uid="{00000000-0009-0000-0100-000005000000}"/>
  <tableColumns count="9">
    <tableColumn id="1" xr3:uid="{00000000-0010-0000-0400-000001000000}" name="Fase"/>
    <tableColumn id="2" xr3:uid="{00000000-0010-0000-0400-000002000000}" name="Descrizione fase"/>
    <tableColumn id="3" xr3:uid="{00000000-0010-0000-0400-000003000000}" name="Tipo"/>
    <tableColumn id="4" xr3:uid="{00000000-0010-0000-0400-000004000000}" name="Fornitore"/>
    <tableColumn id="5" xr3:uid="{00000000-0010-0000-0400-000005000000}" name="Codice fornitore"/>
    <tableColumn id="6" xr3:uid="{00000000-0010-0000-0400-000006000000}" name="Centro"/>
    <tableColumn id="7" xr3:uid="{00000000-0010-0000-0400-000007000000}" name="Costo lavorazione_x000a_[€/pz]"/>
    <tableColumn id="8" xr3:uid="{00000000-0010-0000-0400-000008000000}" name="Lead time medio_x000a_[gg]"/>
    <tableColumn id="9" xr3:uid="{00000000-0010-0000-0400-000009000000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001_024_008B" displayName="tbl_P001_024_008B" ref="A3:I30">
  <autoFilter ref="A3:I30" xr:uid="{00000000-0009-0000-0100-000006000000}"/>
  <tableColumns count="9">
    <tableColumn id="1" xr3:uid="{00000000-0010-0000-0500-000001000000}" name="Fase"/>
    <tableColumn id="2" xr3:uid="{00000000-0010-0000-0500-000002000000}" name="Descrizione fase"/>
    <tableColumn id="3" xr3:uid="{00000000-0010-0000-0500-000003000000}" name="Tipo"/>
    <tableColumn id="4" xr3:uid="{00000000-0010-0000-0500-000004000000}" name="Fornitore"/>
    <tableColumn id="5" xr3:uid="{00000000-0010-0000-0500-000005000000}" name="Codice fornitore"/>
    <tableColumn id="6" xr3:uid="{00000000-0010-0000-0500-000006000000}" name="Centro"/>
    <tableColumn id="7" xr3:uid="{00000000-0010-0000-0500-000007000000}" name="Costo lavorazione_x000a_[€/pz]"/>
    <tableColumn id="8" xr3:uid="{00000000-0010-0000-0500-000008000000}" name="Lead time medio_x000a_[gg]"/>
    <tableColumn id="9" xr3:uid="{00000000-0010-0000-0500-000009000000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001_024_031" displayName="tbl_P001_024_031" ref="A3:I30">
  <autoFilter ref="A3:I30" xr:uid="{00000000-0009-0000-0100-000007000000}"/>
  <tableColumns count="9">
    <tableColumn id="1" xr3:uid="{00000000-0010-0000-0600-000001000000}" name="Fase"/>
    <tableColumn id="2" xr3:uid="{00000000-0010-0000-0600-000002000000}" name="Descrizione fase"/>
    <tableColumn id="3" xr3:uid="{00000000-0010-0000-0600-000003000000}" name="Tipo"/>
    <tableColumn id="4" xr3:uid="{00000000-0010-0000-0600-000004000000}" name="Fornitore"/>
    <tableColumn id="5" xr3:uid="{00000000-0010-0000-0600-000005000000}" name="Codice fornitore"/>
    <tableColumn id="6" xr3:uid="{00000000-0010-0000-0600-000006000000}" name="Centro"/>
    <tableColumn id="7" xr3:uid="{00000000-0010-0000-0600-000007000000}" name="Costo lavorazione_x000a_[€/pz]"/>
    <tableColumn id="8" xr3:uid="{00000000-0010-0000-0600-000008000000}" name="Lead time medio_x000a_[gg]"/>
    <tableColumn id="9" xr3:uid="{00000000-0010-0000-0600-000009000000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001_024_052" displayName="tbl_P001_024_052" ref="A3:I30">
  <autoFilter ref="A3:I30" xr:uid="{00000000-0009-0000-0100-000008000000}"/>
  <tableColumns count="9">
    <tableColumn id="1" xr3:uid="{00000000-0010-0000-0700-000001000000}" name="Fase"/>
    <tableColumn id="2" xr3:uid="{00000000-0010-0000-0700-000002000000}" name="Descrizione fase"/>
    <tableColumn id="3" xr3:uid="{00000000-0010-0000-0700-000003000000}" name="Tipo"/>
    <tableColumn id="4" xr3:uid="{00000000-0010-0000-0700-000004000000}" name="Fornitore"/>
    <tableColumn id="5" xr3:uid="{00000000-0010-0000-0700-000005000000}" name="Codice fornitore"/>
    <tableColumn id="6" xr3:uid="{00000000-0010-0000-0700-000006000000}" name="Centro"/>
    <tableColumn id="7" xr3:uid="{00000000-0010-0000-0700-000007000000}" name="Costo lavorazione_x000a_[€/pz]"/>
    <tableColumn id="8" xr3:uid="{00000000-0010-0000-0700-000008000000}" name="Lead time medio_x000a_[gg]"/>
    <tableColumn id="9" xr3:uid="{00000000-0010-0000-0700-000009000000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P001_024_028" displayName="tbl_P001_024_028" ref="A3:I30">
  <autoFilter ref="A3:I30" xr:uid="{00000000-0009-0000-0100-000009000000}"/>
  <tableColumns count="9">
    <tableColumn id="1" xr3:uid="{00000000-0010-0000-0800-000001000000}" name="Fase"/>
    <tableColumn id="2" xr3:uid="{00000000-0010-0000-0800-000002000000}" name="Descrizione fase"/>
    <tableColumn id="3" xr3:uid="{00000000-0010-0000-0800-000003000000}" name="Tipo"/>
    <tableColumn id="4" xr3:uid="{00000000-0010-0000-0800-000004000000}" name="Fornitore"/>
    <tableColumn id="5" xr3:uid="{00000000-0010-0000-0800-000005000000}" name="Codice fornitore"/>
    <tableColumn id="6" xr3:uid="{00000000-0010-0000-0800-000006000000}" name="Centro"/>
    <tableColumn id="7" xr3:uid="{00000000-0010-0000-0800-000007000000}" name="Costo lavorazione_x000a_[€/pz]"/>
    <tableColumn id="8" xr3:uid="{00000000-0010-0000-0800-000008000000}" name="Lead time medio_x000a_[gg]"/>
    <tableColumn id="9" xr3:uid="{00000000-0010-0000-0800-000009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P001_024_012A" displayName="tbl_P001_024_012A" ref="A3:I30">
  <autoFilter ref="A3:I30" xr:uid="{00000000-0009-0000-0100-00000A000000}"/>
  <tableColumns count="9">
    <tableColumn id="1" xr3:uid="{00000000-0010-0000-0900-000001000000}" name="Fase"/>
    <tableColumn id="2" xr3:uid="{00000000-0010-0000-0900-000002000000}" name="Descrizione fase"/>
    <tableColumn id="3" xr3:uid="{00000000-0010-0000-0900-000003000000}" name="Tipo"/>
    <tableColumn id="4" xr3:uid="{00000000-0010-0000-0900-000004000000}" name="Fornitore"/>
    <tableColumn id="5" xr3:uid="{00000000-0010-0000-0900-000005000000}" name="Codice fornitore"/>
    <tableColumn id="6" xr3:uid="{00000000-0010-0000-0900-000006000000}" name="Centro"/>
    <tableColumn id="7" xr3:uid="{00000000-0010-0000-0900-000007000000}" name="Costo lavorazione_x000a_[€/pz]"/>
    <tableColumn id="8" xr3:uid="{00000000-0010-0000-0900-000008000000}" name="Lead time medio_x000a_[gg]"/>
    <tableColumn id="9" xr3:uid="{00000000-0010-0000-0900-000009000000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001_024_010A" displayName="tbl_P001_024_010A" ref="A3:I30">
  <autoFilter ref="A3:I30" xr:uid="{00000000-0009-0000-0100-00000B000000}"/>
  <tableColumns count="9">
    <tableColumn id="1" xr3:uid="{00000000-0010-0000-0A00-000001000000}" name="Fase"/>
    <tableColumn id="2" xr3:uid="{00000000-0010-0000-0A00-000002000000}" name="Descrizione fase"/>
    <tableColumn id="3" xr3:uid="{00000000-0010-0000-0A00-000003000000}" name="Tipo"/>
    <tableColumn id="4" xr3:uid="{00000000-0010-0000-0A00-000004000000}" name="Fornitore"/>
    <tableColumn id="5" xr3:uid="{00000000-0010-0000-0A00-000005000000}" name="Codice fornitore"/>
    <tableColumn id="6" xr3:uid="{00000000-0010-0000-0A00-000006000000}" name="Centro"/>
    <tableColumn id="7" xr3:uid="{00000000-0010-0000-0A00-000007000000}" name="Costo lavorazione_x000a_[€/pz]"/>
    <tableColumn id="8" xr3:uid="{00000000-0010-0000-0A00-000008000000}" name="Lead time medio_x000a_[gg]"/>
    <tableColumn id="9" xr3:uid="{00000000-0010-0000-0A00-000009000000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001_024_011" displayName="tbl_P001_024_011" ref="A3:I30">
  <autoFilter ref="A3:I30" xr:uid="{00000000-0009-0000-0100-00000C000000}"/>
  <tableColumns count="9">
    <tableColumn id="1" xr3:uid="{00000000-0010-0000-0B00-000001000000}" name="Fase"/>
    <tableColumn id="2" xr3:uid="{00000000-0010-0000-0B00-000002000000}" name="Descrizione fase"/>
    <tableColumn id="3" xr3:uid="{00000000-0010-0000-0B00-000003000000}" name="Tipo"/>
    <tableColumn id="4" xr3:uid="{00000000-0010-0000-0B00-000004000000}" name="Fornitore"/>
    <tableColumn id="5" xr3:uid="{00000000-0010-0000-0B00-000005000000}" name="Codice fornitore"/>
    <tableColumn id="6" xr3:uid="{00000000-0010-0000-0B00-000006000000}" name="Centro"/>
    <tableColumn id="7" xr3:uid="{00000000-0010-0000-0B00-000007000000}" name="Costo lavorazione_x000a_[€/pz]"/>
    <tableColumn id="8" xr3:uid="{00000000-0010-0000-0B00-000008000000}" name="Lead time medio_x000a_[gg]"/>
    <tableColumn id="9" xr3:uid="{00000000-0010-0000-0B00-000009000000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P001_024_016" displayName="tbl_P001_024_016" ref="A3:I30">
  <autoFilter ref="A3:I30" xr:uid="{00000000-0009-0000-0100-00000D000000}"/>
  <tableColumns count="9">
    <tableColumn id="1" xr3:uid="{00000000-0010-0000-0C00-000001000000}" name="Fase"/>
    <tableColumn id="2" xr3:uid="{00000000-0010-0000-0C00-000002000000}" name="Descrizione fase"/>
    <tableColumn id="3" xr3:uid="{00000000-0010-0000-0C00-000003000000}" name="Tipo"/>
    <tableColumn id="4" xr3:uid="{00000000-0010-0000-0C00-000004000000}" name="Fornitore"/>
    <tableColumn id="5" xr3:uid="{00000000-0010-0000-0C00-000005000000}" name="Codice fornitore"/>
    <tableColumn id="6" xr3:uid="{00000000-0010-0000-0C00-000006000000}" name="Centro"/>
    <tableColumn id="7" xr3:uid="{00000000-0010-0000-0C00-000007000000}" name="Costo lavorazione_x000a_[€/pz]"/>
    <tableColumn id="8" xr3:uid="{00000000-0010-0000-0C00-000008000000}" name="Lead time medio_x000a_[gg]"/>
    <tableColumn id="9" xr3:uid="{00000000-0010-0000-0C00-000009000000}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P001_024_021B" displayName="tbl_P001_024_021B" ref="A3:I30">
  <autoFilter ref="A3:I30" xr:uid="{00000000-0009-0000-0100-00000E000000}"/>
  <tableColumns count="9">
    <tableColumn id="1" xr3:uid="{00000000-0010-0000-0D00-000001000000}" name="Fase"/>
    <tableColumn id="2" xr3:uid="{00000000-0010-0000-0D00-000002000000}" name="Descrizione fase"/>
    <tableColumn id="3" xr3:uid="{00000000-0010-0000-0D00-000003000000}" name="Tipo"/>
    <tableColumn id="4" xr3:uid="{00000000-0010-0000-0D00-000004000000}" name="Fornitore"/>
    <tableColumn id="5" xr3:uid="{00000000-0010-0000-0D00-000005000000}" name="Codice fornitore"/>
    <tableColumn id="6" xr3:uid="{00000000-0010-0000-0D00-000006000000}" name="Centro"/>
    <tableColumn id="7" xr3:uid="{00000000-0010-0000-0D00-000007000000}" name="Costo lavorazione_x000a_[€/pz]"/>
    <tableColumn id="8" xr3:uid="{00000000-0010-0000-0D00-000008000000}" name="Lead time medio_x000a_[gg]"/>
    <tableColumn id="9" xr3:uid="{00000000-0010-0000-0D00-000009000000}" name="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P001_024_022D" displayName="tbl_P001_024_022D" ref="A3:I30">
  <autoFilter ref="A3:I30" xr:uid="{00000000-0009-0000-0100-00000F000000}"/>
  <tableColumns count="9">
    <tableColumn id="1" xr3:uid="{00000000-0010-0000-0E00-000001000000}" name="Fase"/>
    <tableColumn id="2" xr3:uid="{00000000-0010-0000-0E00-000002000000}" name="Descrizione fase"/>
    <tableColumn id="3" xr3:uid="{00000000-0010-0000-0E00-000003000000}" name="Tipo"/>
    <tableColumn id="4" xr3:uid="{00000000-0010-0000-0E00-000004000000}" name="Fornitore"/>
    <tableColumn id="5" xr3:uid="{00000000-0010-0000-0E00-000005000000}" name="Codice fornitore"/>
    <tableColumn id="6" xr3:uid="{00000000-0010-0000-0E00-000006000000}" name="Centro"/>
    <tableColumn id="7" xr3:uid="{00000000-0010-0000-0E00-000007000000}" name="Costo lavorazione_x000a_[€/pz]"/>
    <tableColumn id="8" xr3:uid="{00000000-0010-0000-0E00-000008000000}" name="Lead time medio_x000a_[gg]"/>
    <tableColumn id="9" xr3:uid="{00000000-0010-0000-0E00-000009000000}" name="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P001_024_023D" displayName="tbl_P001_024_023D" ref="A3:I30">
  <autoFilter ref="A3:I30" xr:uid="{00000000-0009-0000-0100-000010000000}"/>
  <tableColumns count="9">
    <tableColumn id="1" xr3:uid="{00000000-0010-0000-0F00-000001000000}" name="Fase"/>
    <tableColumn id="2" xr3:uid="{00000000-0010-0000-0F00-000002000000}" name="Descrizione fase"/>
    <tableColumn id="3" xr3:uid="{00000000-0010-0000-0F00-000003000000}" name="Tipo"/>
    <tableColumn id="4" xr3:uid="{00000000-0010-0000-0F00-000004000000}" name="Fornitore"/>
    <tableColumn id="5" xr3:uid="{00000000-0010-0000-0F00-000005000000}" name="Codice fornitore"/>
    <tableColumn id="6" xr3:uid="{00000000-0010-0000-0F00-000006000000}" name="Centro"/>
    <tableColumn id="7" xr3:uid="{00000000-0010-0000-0F00-000007000000}" name="Costo lavorazione_x000a_[€/pz]"/>
    <tableColumn id="8" xr3:uid="{00000000-0010-0000-0F00-000008000000}" name="Lead time medio_x000a_[gg]"/>
    <tableColumn id="9" xr3:uid="{00000000-0010-0000-0F00-000009000000}" name="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001_024_024D" displayName="tbl_P001_024_024D" ref="A3:I30">
  <autoFilter ref="A3:I30" xr:uid="{00000000-0009-0000-0100-000011000000}"/>
  <tableColumns count="9">
    <tableColumn id="1" xr3:uid="{00000000-0010-0000-1000-000001000000}" name="Fase"/>
    <tableColumn id="2" xr3:uid="{00000000-0010-0000-1000-000002000000}" name="Descrizione fase"/>
    <tableColumn id="3" xr3:uid="{00000000-0010-0000-1000-000003000000}" name="Tipo"/>
    <tableColumn id="4" xr3:uid="{00000000-0010-0000-1000-000004000000}" name="Fornitore"/>
    <tableColumn id="5" xr3:uid="{00000000-0010-0000-1000-000005000000}" name="Codice fornitore"/>
    <tableColumn id="6" xr3:uid="{00000000-0010-0000-1000-000006000000}" name="Centro"/>
    <tableColumn id="7" xr3:uid="{00000000-0010-0000-1000-000007000000}" name="Costo lavorazione_x000a_[€/pz]"/>
    <tableColumn id="8" xr3:uid="{00000000-0010-0000-1000-000008000000}" name="Lead time medio_x000a_[gg]"/>
    <tableColumn id="9" xr3:uid="{00000000-0010-0000-1000-000009000000}" name="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E639158-2F52-4009-9180-76954B3F558D}" name="tbl_COMM_OR202186" displayName="tbl_COMM_OR202186" ref="A3:G6">
  <autoFilter ref="A3:G6" xr:uid="{9E639158-2F52-4009-9180-76954B3F558D}"/>
  <tableColumns count="7">
    <tableColumn id="1" xr3:uid="{05A9622D-95FE-4A8E-8844-2E13E294A377}" name="Descrizione"/>
    <tableColumn id="2" xr3:uid="{28255B8A-FB66-4155-B595-C5E5E9C11E99}" name="Fornitore"/>
    <tableColumn id="3" xr3:uid="{BA0809AF-89B2-4571-B3E2-FFA00D3D8F00}" name="Codice fornitore"/>
    <tableColumn id="4" xr3:uid="{0188D6C7-B079-4C3B-8213-617C3D48D830}" name="Prezzo [€/pz]"/>
    <tableColumn id="5" xr3:uid="{EE498CAF-8C54-40C2-A517-E8031583797A}" name="Lotto minimo riordino [pz]"/>
    <tableColumn id="6" xr3:uid="{D3EA7FEC-BC5C-4210-B581-48EBABFF7E60}" name="Lead time medio [gg]"/>
    <tableColumn id="7" xr3:uid="{2F7A20EB-7BAD-4861-99FA-9B33DAF3A8DA}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CORPO_VNR" displayName="tbl_CORPO_VNR" ref="A3:I30">
  <autoFilter ref="A3:I30" xr:uid="{00000000-0009-0000-0100-000013000000}"/>
  <tableColumns count="9">
    <tableColumn id="1" xr3:uid="{00000000-0010-0000-1200-000001000000}" name="Fase"/>
    <tableColumn id="2" xr3:uid="{00000000-0010-0000-1200-000002000000}" name="Descrizione fase"/>
    <tableColumn id="3" xr3:uid="{00000000-0010-0000-1200-000003000000}" name="Tipo"/>
    <tableColumn id="4" xr3:uid="{00000000-0010-0000-1200-000004000000}" name="Fornitore"/>
    <tableColumn id="5" xr3:uid="{00000000-0010-0000-1200-000005000000}" name="Codice fornitore"/>
    <tableColumn id="6" xr3:uid="{00000000-0010-0000-1200-000006000000}" name="Centro"/>
    <tableColumn id="7" xr3:uid="{00000000-0010-0000-1200-000007000000}" name="Costo lavorazione_x000a_[€/pz]"/>
    <tableColumn id="8" xr3:uid="{00000000-0010-0000-1200-000008000000}" name="Lead time medio_x000a_[gg]"/>
    <tableColumn id="9" xr3:uid="{00000000-0010-0000-1200-000009000000}" name="No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ISO_2338___1_m6_x__x000a_4___St" displayName="tbl_ISO_2338___1_m6_x__4___St" ref="A3:I30">
  <autoFilter ref="A3:I30" xr:uid="{00000000-0009-0000-0100-000014000000}"/>
  <tableColumns count="9">
    <tableColumn id="1" xr3:uid="{00000000-0010-0000-1300-000001000000}" name="Fase"/>
    <tableColumn id="2" xr3:uid="{00000000-0010-0000-1300-000002000000}" name="Descrizione fase"/>
    <tableColumn id="3" xr3:uid="{00000000-0010-0000-1300-000003000000}" name="Tipo"/>
    <tableColumn id="4" xr3:uid="{00000000-0010-0000-1300-000004000000}" name="Fornitore"/>
    <tableColumn id="5" xr3:uid="{00000000-0010-0000-1300-000005000000}" name="Codice fornitore"/>
    <tableColumn id="6" xr3:uid="{00000000-0010-0000-1300-000006000000}" name="Centro"/>
    <tableColumn id="7" xr3:uid="{00000000-0010-0000-1300-000007000000}" name="Costo lavorazione_x000a_[€/pz]"/>
    <tableColumn id="8" xr3:uid="{00000000-0010-0000-1300-000008000000}" name="Lead time medio_x000a_[gg]"/>
    <tableColumn id="9" xr3:uid="{00000000-0010-0000-1300-000009000000}" name="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P001_024_032" displayName="tbl_P001_024_032" ref="A3:I30">
  <autoFilter ref="A3:I30" xr:uid="{00000000-0009-0000-0100-000015000000}"/>
  <tableColumns count="9">
    <tableColumn id="1" xr3:uid="{00000000-0010-0000-1400-000001000000}" name="Fase"/>
    <tableColumn id="2" xr3:uid="{00000000-0010-0000-1400-000002000000}" name="Descrizione fase"/>
    <tableColumn id="3" xr3:uid="{00000000-0010-0000-1400-000003000000}" name="Tipo"/>
    <tableColumn id="4" xr3:uid="{00000000-0010-0000-1400-000004000000}" name="Fornitore"/>
    <tableColumn id="5" xr3:uid="{00000000-0010-0000-1400-000005000000}" name="Codice fornitore"/>
    <tableColumn id="6" xr3:uid="{00000000-0010-0000-1400-000006000000}" name="Centro"/>
    <tableColumn id="7" xr3:uid="{00000000-0010-0000-1400-000007000000}" name="Costo lavorazione_x000a_[€/pz]"/>
    <tableColumn id="8" xr3:uid="{00000000-0010-0000-1400-000008000000}" name="Lead time medio_x000a_[gg]"/>
    <tableColumn id="9" xr3:uid="{00000000-0010-0000-1400-000009000000}" name="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P001_024_037" displayName="tbl_P001_024_037" ref="A3:I30">
  <autoFilter ref="A3:I30" xr:uid="{00000000-0009-0000-0100-000016000000}"/>
  <tableColumns count="9">
    <tableColumn id="1" xr3:uid="{00000000-0010-0000-1500-000001000000}" name="Fase"/>
    <tableColumn id="2" xr3:uid="{00000000-0010-0000-1500-000002000000}" name="Descrizione fase"/>
    <tableColumn id="3" xr3:uid="{00000000-0010-0000-1500-000003000000}" name="Tipo"/>
    <tableColumn id="4" xr3:uid="{00000000-0010-0000-1500-000004000000}" name="Fornitore"/>
    <tableColumn id="5" xr3:uid="{00000000-0010-0000-1500-000005000000}" name="Codice fornitore"/>
    <tableColumn id="6" xr3:uid="{00000000-0010-0000-1500-000006000000}" name="Centro"/>
    <tableColumn id="7" xr3:uid="{00000000-0010-0000-1500-000007000000}" name="Costo lavorazione_x000a_[€/pz]"/>
    <tableColumn id="8" xr3:uid="{00000000-0010-0000-1500-000008000000}" name="Lead time medio_x000a_[gg]"/>
    <tableColumn id="9" xr3:uid="{00000000-0010-0000-1500-000009000000}" name="No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P001_024_035" displayName="tbl_P001_024_035" ref="A3:I30">
  <autoFilter ref="A3:I30" xr:uid="{00000000-0009-0000-0100-000017000000}"/>
  <tableColumns count="9">
    <tableColumn id="1" xr3:uid="{00000000-0010-0000-1600-000001000000}" name="Fase"/>
    <tableColumn id="2" xr3:uid="{00000000-0010-0000-1600-000002000000}" name="Descrizione fase"/>
    <tableColumn id="3" xr3:uid="{00000000-0010-0000-1600-000003000000}" name="Tipo"/>
    <tableColumn id="4" xr3:uid="{00000000-0010-0000-1600-000004000000}" name="Fornitore"/>
    <tableColumn id="5" xr3:uid="{00000000-0010-0000-1600-000005000000}" name="Codice fornitore"/>
    <tableColumn id="6" xr3:uid="{00000000-0010-0000-1600-000006000000}" name="Centro"/>
    <tableColumn id="7" xr3:uid="{00000000-0010-0000-1600-000007000000}" name="Costo lavorazione_x000a_[€/pz]"/>
    <tableColumn id="8" xr3:uid="{00000000-0010-0000-1600-000008000000}" name="Lead time medio_x000a_[gg]"/>
    <tableColumn id="9" xr3:uid="{00000000-0010-0000-1600-000009000000}" name="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P001_024_036" displayName="tbl_P001_024_036" ref="A3:I30">
  <autoFilter ref="A3:I30" xr:uid="{00000000-0009-0000-0100-000018000000}"/>
  <tableColumns count="9">
    <tableColumn id="1" xr3:uid="{00000000-0010-0000-1700-000001000000}" name="Fase"/>
    <tableColumn id="2" xr3:uid="{00000000-0010-0000-1700-000002000000}" name="Descrizione fase"/>
    <tableColumn id="3" xr3:uid="{00000000-0010-0000-1700-000003000000}" name="Tipo"/>
    <tableColumn id="4" xr3:uid="{00000000-0010-0000-1700-000004000000}" name="Fornitore"/>
    <tableColumn id="5" xr3:uid="{00000000-0010-0000-1700-000005000000}" name="Codice fornitore"/>
    <tableColumn id="6" xr3:uid="{00000000-0010-0000-1700-000006000000}" name="Centro"/>
    <tableColumn id="7" xr3:uid="{00000000-0010-0000-1700-000007000000}" name="Costo lavorazione_x000a_[€/pz]"/>
    <tableColumn id="8" xr3:uid="{00000000-0010-0000-1700-000008000000}" name="Lead time medio_x000a_[gg]"/>
    <tableColumn id="9" xr3:uid="{00000000-0010-0000-1700-000009000000}" name="Not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P001_024_025B" displayName="tbl_P001_024_025B" ref="A3:I30">
  <autoFilter ref="A3:I30" xr:uid="{00000000-0009-0000-0100-000019000000}"/>
  <tableColumns count="9">
    <tableColumn id="1" xr3:uid="{00000000-0010-0000-1800-000001000000}" name="Fase"/>
    <tableColumn id="2" xr3:uid="{00000000-0010-0000-1800-000002000000}" name="Descrizione fase"/>
    <tableColumn id="3" xr3:uid="{00000000-0010-0000-1800-000003000000}" name="Tipo"/>
    <tableColumn id="4" xr3:uid="{00000000-0010-0000-1800-000004000000}" name="Fornitore"/>
    <tableColumn id="5" xr3:uid="{00000000-0010-0000-1800-000005000000}" name="Codice fornitore"/>
    <tableColumn id="6" xr3:uid="{00000000-0010-0000-1800-000006000000}" name="Centro"/>
    <tableColumn id="7" xr3:uid="{00000000-0010-0000-1800-000007000000}" name="Costo lavorazione_x000a_[€/pz]"/>
    <tableColumn id="8" xr3:uid="{00000000-0010-0000-1800-000008000000}" name="Lead time medio_x000a_[gg]"/>
    <tableColumn id="9" xr3:uid="{00000000-0010-0000-1800-000009000000}" name="Not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P001_024_026" displayName="tbl_P001_024_026" ref="A3:I30">
  <autoFilter ref="A3:I30" xr:uid="{00000000-0009-0000-0100-00001A000000}"/>
  <tableColumns count="9">
    <tableColumn id="1" xr3:uid="{00000000-0010-0000-1900-000001000000}" name="Fase"/>
    <tableColumn id="2" xr3:uid="{00000000-0010-0000-1900-000002000000}" name="Descrizione fase"/>
    <tableColumn id="3" xr3:uid="{00000000-0010-0000-1900-000003000000}" name="Tipo"/>
    <tableColumn id="4" xr3:uid="{00000000-0010-0000-1900-000004000000}" name="Fornitore"/>
    <tableColumn id="5" xr3:uid="{00000000-0010-0000-1900-000005000000}" name="Codice fornitore"/>
    <tableColumn id="6" xr3:uid="{00000000-0010-0000-1900-000006000000}" name="Centro"/>
    <tableColumn id="7" xr3:uid="{00000000-0010-0000-1900-000007000000}" name="Costo lavorazione_x000a_[€/pz]"/>
    <tableColumn id="8" xr3:uid="{00000000-0010-0000-1900-000008000000}" name="Lead time medio_x000a_[gg]"/>
    <tableColumn id="9" xr3:uid="{00000000-0010-0000-1900-000009000000}" name="Not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P001_024_042" displayName="tbl_P001_024_042" ref="A3:I30">
  <autoFilter ref="A3:I30" xr:uid="{00000000-0009-0000-0100-00001B000000}"/>
  <tableColumns count="9">
    <tableColumn id="1" xr3:uid="{00000000-0010-0000-1A00-000001000000}" name="Fase"/>
    <tableColumn id="2" xr3:uid="{00000000-0010-0000-1A00-000002000000}" name="Descrizione fase"/>
    <tableColumn id="3" xr3:uid="{00000000-0010-0000-1A00-000003000000}" name="Tipo"/>
    <tableColumn id="4" xr3:uid="{00000000-0010-0000-1A00-000004000000}" name="Fornitore"/>
    <tableColumn id="5" xr3:uid="{00000000-0010-0000-1A00-000005000000}" name="Codice fornitore"/>
    <tableColumn id="6" xr3:uid="{00000000-0010-0000-1A00-000006000000}" name="Centro"/>
    <tableColumn id="7" xr3:uid="{00000000-0010-0000-1A00-000007000000}" name="Costo lavorazione_x000a_[€/pz]"/>
    <tableColumn id="8" xr3:uid="{00000000-0010-0000-1A00-000008000000}" name="Lead time medio_x000a_[gg]"/>
    <tableColumn id="9" xr3:uid="{00000000-0010-0000-1A00-000009000000}" name="Not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P001_024_041A" displayName="tbl_P001_024_041A" ref="A3:I30">
  <autoFilter ref="A3:I30" xr:uid="{00000000-0009-0000-0100-00001C000000}"/>
  <tableColumns count="9">
    <tableColumn id="1" xr3:uid="{00000000-0010-0000-1B00-000001000000}" name="Fase"/>
    <tableColumn id="2" xr3:uid="{00000000-0010-0000-1B00-000002000000}" name="Descrizione fase"/>
    <tableColumn id="3" xr3:uid="{00000000-0010-0000-1B00-000003000000}" name="Tipo"/>
    <tableColumn id="4" xr3:uid="{00000000-0010-0000-1B00-000004000000}" name="Fornitore"/>
    <tableColumn id="5" xr3:uid="{00000000-0010-0000-1B00-000005000000}" name="Codice fornitore"/>
    <tableColumn id="6" xr3:uid="{00000000-0010-0000-1B00-000006000000}" name="Centro"/>
    <tableColumn id="7" xr3:uid="{00000000-0010-0000-1B00-000007000000}" name="Costo lavorazione_x000a_[€/pz]"/>
    <tableColumn id="8" xr3:uid="{00000000-0010-0000-1B00-000008000000}" name="Lead time medio_x000a_[gg]"/>
    <tableColumn id="9" xr3:uid="{00000000-0010-0000-1B00-000009000000}" name="Not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P001_024_043" displayName="tbl_P001_024_043" ref="A3:I30">
  <autoFilter ref="A3:I30" xr:uid="{00000000-0009-0000-0100-00001D000000}"/>
  <tableColumns count="9">
    <tableColumn id="1" xr3:uid="{00000000-0010-0000-1C00-000001000000}" name="Fase"/>
    <tableColumn id="2" xr3:uid="{00000000-0010-0000-1C00-000002000000}" name="Descrizione fase"/>
    <tableColumn id="3" xr3:uid="{00000000-0010-0000-1C00-000003000000}" name="Tipo"/>
    <tableColumn id="4" xr3:uid="{00000000-0010-0000-1C00-000004000000}" name="Fornitore"/>
    <tableColumn id="5" xr3:uid="{00000000-0010-0000-1C00-000005000000}" name="Codice fornitore"/>
    <tableColumn id="6" xr3:uid="{00000000-0010-0000-1C00-000006000000}" name="Centro"/>
    <tableColumn id="7" xr3:uid="{00000000-0010-0000-1C00-000007000000}" name="Costo lavorazione_x000a_[€/pz]"/>
    <tableColumn id="8" xr3:uid="{00000000-0010-0000-1C00-000008000000}" name="Lead time medio_x000a_[gg]"/>
    <tableColumn id="9" xr3:uid="{00000000-0010-0000-1C00-000009000000}" name="Not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P001_024_044" displayName="tbl_P001_024_044" ref="A3:I30">
  <autoFilter ref="A3:I30" xr:uid="{00000000-0009-0000-0100-00001E000000}"/>
  <tableColumns count="9">
    <tableColumn id="1" xr3:uid="{00000000-0010-0000-1D00-000001000000}" name="Fase"/>
    <tableColumn id="2" xr3:uid="{00000000-0010-0000-1D00-000002000000}" name="Descrizione fase"/>
    <tableColumn id="3" xr3:uid="{00000000-0010-0000-1D00-000003000000}" name="Tipo"/>
    <tableColumn id="4" xr3:uid="{00000000-0010-0000-1D00-000004000000}" name="Fornitore"/>
    <tableColumn id="5" xr3:uid="{00000000-0010-0000-1D00-000005000000}" name="Codice fornitore"/>
    <tableColumn id="6" xr3:uid="{00000000-0010-0000-1D00-000006000000}" name="Centro"/>
    <tableColumn id="7" xr3:uid="{00000000-0010-0000-1D00-000007000000}" name="Costo lavorazione_x000a_[€/pz]"/>
    <tableColumn id="8" xr3:uid="{00000000-0010-0000-1D00-000008000000}" name="Lead time medio_x000a_[gg]"/>
    <tableColumn id="9" xr3:uid="{00000000-0010-0000-1D00-000009000000}" name="Not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P001_024_045" displayName="tbl_P001_024_045" ref="A3:I30">
  <autoFilter ref="A3:I30" xr:uid="{00000000-0009-0000-0100-00001F000000}"/>
  <tableColumns count="9">
    <tableColumn id="1" xr3:uid="{00000000-0010-0000-1E00-000001000000}" name="Fase"/>
    <tableColumn id="2" xr3:uid="{00000000-0010-0000-1E00-000002000000}" name="Descrizione fase"/>
    <tableColumn id="3" xr3:uid="{00000000-0010-0000-1E00-000003000000}" name="Tipo"/>
    <tableColumn id="4" xr3:uid="{00000000-0010-0000-1E00-000004000000}" name="Fornitore"/>
    <tableColumn id="5" xr3:uid="{00000000-0010-0000-1E00-000005000000}" name="Codice fornitore"/>
    <tableColumn id="6" xr3:uid="{00000000-0010-0000-1E00-000006000000}" name="Centro"/>
    <tableColumn id="7" xr3:uid="{00000000-0010-0000-1E00-000007000000}" name="Costo lavorazione_x000a_[€/pz]"/>
    <tableColumn id="8" xr3:uid="{00000000-0010-0000-1E00-000008000000}" name="Lead time medio_x000a_[gg]"/>
    <tableColumn id="9" xr3:uid="{00000000-0010-0000-1E00-000009000000}" name="Not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P001_024_054" displayName="tbl_P001_024_054" ref="A3:I30">
  <autoFilter ref="A3:I30" xr:uid="{00000000-0009-0000-0100-000020000000}"/>
  <tableColumns count="9">
    <tableColumn id="1" xr3:uid="{00000000-0010-0000-1F00-000001000000}" name="Fase"/>
    <tableColumn id="2" xr3:uid="{00000000-0010-0000-1F00-000002000000}" name="Descrizione fase"/>
    <tableColumn id="3" xr3:uid="{00000000-0010-0000-1F00-000003000000}" name="Tipo"/>
    <tableColumn id="4" xr3:uid="{00000000-0010-0000-1F00-000004000000}" name="Fornitore"/>
    <tableColumn id="5" xr3:uid="{00000000-0010-0000-1F00-000005000000}" name="Codice fornitore"/>
    <tableColumn id="6" xr3:uid="{00000000-0010-0000-1F00-000006000000}" name="Centro"/>
    <tableColumn id="7" xr3:uid="{00000000-0010-0000-1F00-000007000000}" name="Costo lavorazione_x000a_[€/pz]"/>
    <tableColumn id="8" xr3:uid="{00000000-0010-0000-1F00-000008000000}" name="Lead time medio_x000a_[gg]"/>
    <tableColumn id="9" xr3:uid="{00000000-0010-0000-1F00-000009000000}" name="Not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P001_024_002B" displayName="tbl_P001_024_002B" ref="A3:I30">
  <autoFilter ref="A3:I30" xr:uid="{00000000-0009-0000-0100-000021000000}"/>
  <tableColumns count="9">
    <tableColumn id="1" xr3:uid="{00000000-0010-0000-2000-000001000000}" name="Fase"/>
    <tableColumn id="2" xr3:uid="{00000000-0010-0000-2000-000002000000}" name="Descrizione fase"/>
    <tableColumn id="3" xr3:uid="{00000000-0010-0000-2000-000003000000}" name="Tipo"/>
    <tableColumn id="4" xr3:uid="{00000000-0010-0000-2000-000004000000}" name="Fornitore"/>
    <tableColumn id="5" xr3:uid="{00000000-0010-0000-2000-000005000000}" name="Codice fornitore"/>
    <tableColumn id="6" xr3:uid="{00000000-0010-0000-2000-000006000000}" name="Centro"/>
    <tableColumn id="7" xr3:uid="{00000000-0010-0000-2000-000007000000}" name="Costo lavorazione_x000a_[€/pz]"/>
    <tableColumn id="8" xr3:uid="{00000000-0010-0000-2000-000008000000}" name="Lead time medio_x000a_[gg]"/>
    <tableColumn id="9" xr3:uid="{00000000-0010-0000-2000-000009000000}" name="Not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P001_024_004" displayName="tbl_P001_024_004" ref="A3:I30">
  <autoFilter ref="A3:I30" xr:uid="{00000000-0009-0000-0100-000022000000}"/>
  <tableColumns count="9">
    <tableColumn id="1" xr3:uid="{00000000-0010-0000-2100-000001000000}" name="Fase"/>
    <tableColumn id="2" xr3:uid="{00000000-0010-0000-2100-000002000000}" name="Descrizione fase"/>
    <tableColumn id="3" xr3:uid="{00000000-0010-0000-2100-000003000000}" name="Tipo"/>
    <tableColumn id="4" xr3:uid="{00000000-0010-0000-2100-000004000000}" name="Fornitore"/>
    <tableColumn id="5" xr3:uid="{00000000-0010-0000-2100-000005000000}" name="Codice fornitore"/>
    <tableColumn id="6" xr3:uid="{00000000-0010-0000-2100-000006000000}" name="Centro"/>
    <tableColumn id="7" xr3:uid="{00000000-0010-0000-2100-000007000000}" name="Costo lavorazione_x000a_[€/pz]"/>
    <tableColumn id="8" xr3:uid="{00000000-0010-0000-2100-000008000000}" name="Lead time medio_x000a_[gg]"/>
    <tableColumn id="9" xr3:uid="{00000000-0010-0000-2100-000009000000}" name="Not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001_024_005" displayName="tbl_P001_024_005" ref="A3:I30">
  <autoFilter ref="A3:I30" xr:uid="{00000000-0009-0000-0100-000023000000}"/>
  <tableColumns count="9">
    <tableColumn id="1" xr3:uid="{00000000-0010-0000-2200-000001000000}" name="Fase"/>
    <tableColumn id="2" xr3:uid="{00000000-0010-0000-2200-000002000000}" name="Descrizione fase"/>
    <tableColumn id="3" xr3:uid="{00000000-0010-0000-2200-000003000000}" name="Tipo"/>
    <tableColumn id="4" xr3:uid="{00000000-0010-0000-2200-000004000000}" name="Fornitore"/>
    <tableColumn id="5" xr3:uid="{00000000-0010-0000-2200-000005000000}" name="Codice fornitore"/>
    <tableColumn id="6" xr3:uid="{00000000-0010-0000-2200-000006000000}" name="Centro"/>
    <tableColumn id="7" xr3:uid="{00000000-0010-0000-2200-000007000000}" name="Costo lavorazione_x000a_[€/pz]"/>
    <tableColumn id="8" xr3:uid="{00000000-0010-0000-2200-000008000000}" name="Lead time medio_x000a_[gg]"/>
    <tableColumn id="9" xr3:uid="{00000000-0010-0000-2200-000009000000}" name="Not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375923KE00" displayName="tbl_375923KE00" ref="A3:I30">
  <autoFilter ref="A3:I30" xr:uid="{00000000-0009-0000-0100-000024000000}"/>
  <tableColumns count="9">
    <tableColumn id="1" xr3:uid="{00000000-0010-0000-2300-000001000000}" name="Fase"/>
    <tableColumn id="2" xr3:uid="{00000000-0010-0000-2300-000002000000}" name="Descrizione fase"/>
    <tableColumn id="3" xr3:uid="{00000000-0010-0000-2300-000003000000}" name="Tipo"/>
    <tableColumn id="4" xr3:uid="{00000000-0010-0000-2300-000004000000}" name="Fornitore"/>
    <tableColumn id="5" xr3:uid="{00000000-0010-0000-2300-000005000000}" name="Codice fornitore"/>
    <tableColumn id="6" xr3:uid="{00000000-0010-0000-2300-000006000000}" name="Centro"/>
    <tableColumn id="7" xr3:uid="{00000000-0010-0000-2300-000007000000}" name="Costo lavorazione_x000a_[€/pz]"/>
    <tableColumn id="8" xr3:uid="{00000000-0010-0000-2300-000008000000}" name="Lead time medio_x000a_[gg]"/>
    <tableColumn id="9" xr3:uid="{00000000-0010-0000-2300-000009000000}" name="Not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bl_P001_024_038" displayName="tbl_P001_024_038" ref="A3:I30">
  <autoFilter ref="A3:I30" xr:uid="{00000000-0009-0000-0100-000025000000}"/>
  <tableColumns count="9">
    <tableColumn id="1" xr3:uid="{00000000-0010-0000-2400-000001000000}" name="Fase"/>
    <tableColumn id="2" xr3:uid="{00000000-0010-0000-2400-000002000000}" name="Descrizione fase"/>
    <tableColumn id="3" xr3:uid="{00000000-0010-0000-2400-000003000000}" name="Tipo"/>
    <tableColumn id="4" xr3:uid="{00000000-0010-0000-2400-000004000000}" name="Fornitore"/>
    <tableColumn id="5" xr3:uid="{00000000-0010-0000-2400-000005000000}" name="Codice fornitore"/>
    <tableColumn id="6" xr3:uid="{00000000-0010-0000-2400-000006000000}" name="Centro"/>
    <tableColumn id="7" xr3:uid="{00000000-0010-0000-2400-000007000000}" name="Costo lavorazione_x000a_[€/pz]"/>
    <tableColumn id="8" xr3:uid="{00000000-0010-0000-2400-000008000000}" name="Lead time medio_x000a_[gg]"/>
    <tableColumn id="9" xr3:uid="{00000000-0010-0000-2400-000009000000}" name="Not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bl_P001_024_015C" displayName="tbl_P001_024_015C" ref="A3:I30">
  <autoFilter ref="A3:I30" xr:uid="{00000000-0009-0000-0100-000026000000}"/>
  <tableColumns count="9">
    <tableColumn id="1" xr3:uid="{00000000-0010-0000-2500-000001000000}" name="Fase"/>
    <tableColumn id="2" xr3:uid="{00000000-0010-0000-2500-000002000000}" name="Descrizione fase"/>
    <tableColumn id="3" xr3:uid="{00000000-0010-0000-2500-000003000000}" name="Tipo"/>
    <tableColumn id="4" xr3:uid="{00000000-0010-0000-2500-000004000000}" name="Fornitore"/>
    <tableColumn id="5" xr3:uid="{00000000-0010-0000-2500-000005000000}" name="Codice fornitore"/>
    <tableColumn id="6" xr3:uid="{00000000-0010-0000-2500-000006000000}" name="Centro"/>
    <tableColumn id="7" xr3:uid="{00000000-0010-0000-2500-000007000000}" name="Costo lavorazione_x000a_[€/pz]"/>
    <tableColumn id="8" xr3:uid="{00000000-0010-0000-2500-000008000000}" name="Lead time medio_x000a_[gg]"/>
    <tableColumn id="9" xr3:uid="{00000000-0010-0000-2500-000009000000}" name="Not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bl_P001_025_008KOREA" displayName="tbl_P001_025_008KOREA" ref="A3:I30">
  <autoFilter ref="A3:I30" xr:uid="{00000000-0009-0000-0100-000027000000}"/>
  <tableColumns count="9">
    <tableColumn id="1" xr3:uid="{00000000-0010-0000-2600-000001000000}" name="Fase"/>
    <tableColumn id="2" xr3:uid="{00000000-0010-0000-2600-000002000000}" name="Descrizione fase"/>
    <tableColumn id="3" xr3:uid="{00000000-0010-0000-2600-000003000000}" name="Tipo"/>
    <tableColumn id="4" xr3:uid="{00000000-0010-0000-2600-000004000000}" name="Fornitore"/>
    <tableColumn id="5" xr3:uid="{00000000-0010-0000-2600-000005000000}" name="Codice fornitore"/>
    <tableColumn id="6" xr3:uid="{00000000-0010-0000-2600-000006000000}" name="Centro"/>
    <tableColumn id="7" xr3:uid="{00000000-0010-0000-2600-000007000000}" name="Costo lavorazione_x000a_[€/pz]"/>
    <tableColumn id="8" xr3:uid="{00000000-0010-0000-2600-000008000000}" name="Lead time medio_x000a_[gg]"/>
    <tableColumn id="9" xr3:uid="{00000000-0010-0000-2600-000009000000}" name="Not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bl_P001_024_046" displayName="tbl_P001_024_046" ref="A3:I30">
  <autoFilter ref="A3:I30" xr:uid="{00000000-0009-0000-0100-000028000000}"/>
  <tableColumns count="9">
    <tableColumn id="1" xr3:uid="{00000000-0010-0000-2700-000001000000}" name="Fase"/>
    <tableColumn id="2" xr3:uid="{00000000-0010-0000-2700-000002000000}" name="Descrizione fase"/>
    <tableColumn id="3" xr3:uid="{00000000-0010-0000-2700-000003000000}" name="Tipo"/>
    <tableColumn id="4" xr3:uid="{00000000-0010-0000-2700-000004000000}" name="Fornitore"/>
    <tableColumn id="5" xr3:uid="{00000000-0010-0000-2700-000005000000}" name="Codice fornitore"/>
    <tableColumn id="6" xr3:uid="{00000000-0010-0000-2700-000006000000}" name="Centro"/>
    <tableColumn id="7" xr3:uid="{00000000-0010-0000-2700-000007000000}" name="Costo lavorazione_x000a_[€/pz]"/>
    <tableColumn id="8" xr3:uid="{00000000-0010-0000-2700-000008000000}" name="Lead time medio_x000a_[gg]"/>
    <tableColumn id="9" xr3:uid="{00000000-0010-0000-2700-000009000000}" name="Not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bl_P001_024_047" displayName="tbl_P001_024_047" ref="A3:I30">
  <autoFilter ref="A3:I30" xr:uid="{00000000-0009-0000-0100-000029000000}"/>
  <tableColumns count="9">
    <tableColumn id="1" xr3:uid="{00000000-0010-0000-2800-000001000000}" name="Fase"/>
    <tableColumn id="2" xr3:uid="{00000000-0010-0000-2800-000002000000}" name="Descrizione fase"/>
    <tableColumn id="3" xr3:uid="{00000000-0010-0000-2800-000003000000}" name="Tipo"/>
    <tableColumn id="4" xr3:uid="{00000000-0010-0000-2800-000004000000}" name="Fornitore"/>
    <tableColumn id="5" xr3:uid="{00000000-0010-0000-2800-000005000000}" name="Codice fornitore"/>
    <tableColumn id="6" xr3:uid="{00000000-0010-0000-2800-000006000000}" name="Centro"/>
    <tableColumn id="7" xr3:uid="{00000000-0010-0000-2800-000007000000}" name="Costo lavorazione_x000a_[€/pz]"/>
    <tableColumn id="8" xr3:uid="{00000000-0010-0000-2800-000008000000}" name="Lead time medio_x000a_[gg]"/>
    <tableColumn id="9" xr3:uid="{00000000-0010-0000-2800-000009000000}" name="Not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bl_P001_025_009KOREA" displayName="tbl_P001_025_009KOREA" ref="A3:I30">
  <autoFilter ref="A3:I30" xr:uid="{00000000-0009-0000-0100-00002A000000}"/>
  <tableColumns count="9">
    <tableColumn id="1" xr3:uid="{00000000-0010-0000-2900-000001000000}" name="Fase"/>
    <tableColumn id="2" xr3:uid="{00000000-0010-0000-2900-000002000000}" name="Descrizione fase"/>
    <tableColumn id="3" xr3:uid="{00000000-0010-0000-2900-000003000000}" name="Tipo"/>
    <tableColumn id="4" xr3:uid="{00000000-0010-0000-2900-000004000000}" name="Fornitore"/>
    <tableColumn id="5" xr3:uid="{00000000-0010-0000-2900-000005000000}" name="Codice fornitore"/>
    <tableColumn id="6" xr3:uid="{00000000-0010-0000-2900-000006000000}" name="Centro"/>
    <tableColumn id="7" xr3:uid="{00000000-0010-0000-2900-000007000000}" name="Costo lavorazione_x000a_[€/pz]"/>
    <tableColumn id="8" xr3:uid="{00000000-0010-0000-2900-000008000000}" name="Lead time medio_x000a_[gg]"/>
    <tableColumn id="9" xr3:uid="{00000000-0010-0000-2900-000009000000}" name="Not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bl_RST_M8x3" displayName="tbl_RST_M8x3" ref="A3:I30">
  <autoFilter ref="A3:I30" xr:uid="{00000000-0009-0000-0100-00002B000000}"/>
  <tableColumns count="9">
    <tableColumn id="1" xr3:uid="{00000000-0010-0000-2A00-000001000000}" name="Fase"/>
    <tableColumn id="2" xr3:uid="{00000000-0010-0000-2A00-000002000000}" name="Descrizione fase"/>
    <tableColumn id="3" xr3:uid="{00000000-0010-0000-2A00-000003000000}" name="Tipo"/>
    <tableColumn id="4" xr3:uid="{00000000-0010-0000-2A00-000004000000}" name="Fornitore"/>
    <tableColumn id="5" xr3:uid="{00000000-0010-0000-2A00-000005000000}" name="Codice fornitore"/>
    <tableColumn id="6" xr3:uid="{00000000-0010-0000-2A00-000006000000}" name="Centro"/>
    <tableColumn id="7" xr3:uid="{00000000-0010-0000-2A00-000007000000}" name="Costo lavorazione_x000a_[€/pz]"/>
    <tableColumn id="8" xr3:uid="{00000000-0010-0000-2A00-000008000000}" name="Lead time medio_x000a_[gg]"/>
    <tableColumn id="9" xr3:uid="{00000000-0010-0000-2A00-000009000000}" name="Not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bl_P001_024_050" displayName="tbl_P001_024_050" ref="A3:I30">
  <autoFilter ref="A3:I30" xr:uid="{00000000-0009-0000-0100-00002C000000}"/>
  <tableColumns count="9">
    <tableColumn id="1" xr3:uid="{00000000-0010-0000-2B00-000001000000}" name="Fase"/>
    <tableColumn id="2" xr3:uid="{00000000-0010-0000-2B00-000002000000}" name="Descrizione fase"/>
    <tableColumn id="3" xr3:uid="{00000000-0010-0000-2B00-000003000000}" name="Tipo"/>
    <tableColumn id="4" xr3:uid="{00000000-0010-0000-2B00-000004000000}" name="Fornitore"/>
    <tableColumn id="5" xr3:uid="{00000000-0010-0000-2B00-000005000000}" name="Codice fornitore"/>
    <tableColumn id="6" xr3:uid="{00000000-0010-0000-2B00-000006000000}" name="Centro"/>
    <tableColumn id="7" xr3:uid="{00000000-0010-0000-2B00-000007000000}" name="Costo lavorazione_x000a_[€/pz]"/>
    <tableColumn id="8" xr3:uid="{00000000-0010-0000-2B00-000008000000}" name="Lead time medio_x000a_[gg]"/>
    <tableColumn id="9" xr3:uid="{00000000-0010-0000-2B00-000009000000}" name="Not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bl_P001_024_051" displayName="tbl_P001_024_051" ref="A3:I30">
  <autoFilter ref="A3:I30" xr:uid="{00000000-0009-0000-0100-00002D000000}"/>
  <tableColumns count="9">
    <tableColumn id="1" xr3:uid="{00000000-0010-0000-2C00-000001000000}" name="Fase"/>
    <tableColumn id="2" xr3:uid="{00000000-0010-0000-2C00-000002000000}" name="Descrizione fase"/>
    <tableColumn id="3" xr3:uid="{00000000-0010-0000-2C00-000003000000}" name="Tipo"/>
    <tableColumn id="4" xr3:uid="{00000000-0010-0000-2C00-000004000000}" name="Fornitore"/>
    <tableColumn id="5" xr3:uid="{00000000-0010-0000-2C00-000005000000}" name="Codice fornitore"/>
    <tableColumn id="6" xr3:uid="{00000000-0010-0000-2C00-000006000000}" name="Centro"/>
    <tableColumn id="7" xr3:uid="{00000000-0010-0000-2C00-000007000000}" name="Costo lavorazione_x000a_[€/pz]"/>
    <tableColumn id="8" xr3:uid="{00000000-0010-0000-2C00-000008000000}" name="Lead time medio_x000a_[gg]"/>
    <tableColumn id="9" xr3:uid="{00000000-0010-0000-2C00-000009000000}" name="Not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bl_9TTP40J6PELD" displayName="tbl_9TTP40J6PELD" ref="A3:I30">
  <autoFilter ref="A3:I30" xr:uid="{00000000-0009-0000-0100-00002E000000}"/>
  <tableColumns count="9">
    <tableColumn id="1" xr3:uid="{00000000-0010-0000-2D00-000001000000}" name="Fase"/>
    <tableColumn id="2" xr3:uid="{00000000-0010-0000-2D00-000002000000}" name="Descrizione fase"/>
    <tableColumn id="3" xr3:uid="{00000000-0010-0000-2D00-000003000000}" name="Tipo"/>
    <tableColumn id="4" xr3:uid="{00000000-0010-0000-2D00-000004000000}" name="Fornitore"/>
    <tableColumn id="5" xr3:uid="{00000000-0010-0000-2D00-000005000000}" name="Codice fornitore"/>
    <tableColumn id="6" xr3:uid="{00000000-0010-0000-2D00-000006000000}" name="Centro"/>
    <tableColumn id="7" xr3:uid="{00000000-0010-0000-2D00-000007000000}" name="Costo lavorazione_x000a_[€/pz]"/>
    <tableColumn id="8" xr3:uid="{00000000-0010-0000-2D00-000008000000}" name="Lead time medio_x000a_[gg]"/>
    <tableColumn id="9" xr3:uid="{00000000-0010-0000-2D00-000009000000}" name="Not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bl_9TTP25J5PELD" displayName="tbl_9TTP25J5PELD" ref="A3:I30">
  <autoFilter ref="A3:I30" xr:uid="{00000000-0009-0000-0100-00002F000000}"/>
  <tableColumns count="9">
    <tableColumn id="1" xr3:uid="{00000000-0010-0000-2E00-000001000000}" name="Fase"/>
    <tableColumn id="2" xr3:uid="{00000000-0010-0000-2E00-000002000000}" name="Descrizione fase"/>
    <tableColumn id="3" xr3:uid="{00000000-0010-0000-2E00-000003000000}" name="Tipo"/>
    <tableColumn id="4" xr3:uid="{00000000-0010-0000-2E00-000004000000}" name="Fornitore"/>
    <tableColumn id="5" xr3:uid="{00000000-0010-0000-2E00-000005000000}" name="Codice fornitore"/>
    <tableColumn id="6" xr3:uid="{00000000-0010-0000-2E00-000006000000}" name="Centro"/>
    <tableColumn id="7" xr3:uid="{00000000-0010-0000-2E00-000007000000}" name="Costo lavorazione_x000a_[€/pz]"/>
    <tableColumn id="8" xr3:uid="{00000000-0010-0000-2E00-000008000000}" name="Lead time medio_x000a_[gg]"/>
    <tableColumn id="9" xr3:uid="{00000000-0010-0000-2E00-000009000000}" name="Not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bl_P001_024_039" displayName="tbl_P001_024_039" ref="A3:I30">
  <autoFilter ref="A3:I30" xr:uid="{00000000-0009-0000-0100-000030000000}"/>
  <tableColumns count="9">
    <tableColumn id="1" xr3:uid="{00000000-0010-0000-2F00-000001000000}" name="Fase"/>
    <tableColumn id="2" xr3:uid="{00000000-0010-0000-2F00-000002000000}" name="Descrizione fase"/>
    <tableColumn id="3" xr3:uid="{00000000-0010-0000-2F00-000003000000}" name="Tipo"/>
    <tableColumn id="4" xr3:uid="{00000000-0010-0000-2F00-000004000000}" name="Fornitore"/>
    <tableColumn id="5" xr3:uid="{00000000-0010-0000-2F00-000005000000}" name="Codice fornitore"/>
    <tableColumn id="6" xr3:uid="{00000000-0010-0000-2F00-000006000000}" name="Centro"/>
    <tableColumn id="7" xr3:uid="{00000000-0010-0000-2F00-000007000000}" name="Costo lavorazione_x000a_[€/pz]"/>
    <tableColumn id="8" xr3:uid="{00000000-0010-0000-2F00-000008000000}" name="Lead time medio_x000a_[gg]"/>
    <tableColumn id="9" xr3:uid="{00000000-0010-0000-2F00-000009000000}" name="Not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bl_P001_025_004" displayName="tbl_P001_025_004" ref="A3:I30">
  <autoFilter ref="A3:I30" xr:uid="{00000000-0009-0000-0100-000031000000}"/>
  <tableColumns count="9">
    <tableColumn id="1" xr3:uid="{00000000-0010-0000-3000-000001000000}" name="Fase"/>
    <tableColumn id="2" xr3:uid="{00000000-0010-0000-3000-000002000000}" name="Descrizione fase"/>
    <tableColumn id="3" xr3:uid="{00000000-0010-0000-3000-000003000000}" name="Tipo"/>
    <tableColumn id="4" xr3:uid="{00000000-0010-0000-3000-000004000000}" name="Fornitore"/>
    <tableColumn id="5" xr3:uid="{00000000-0010-0000-3000-000005000000}" name="Codice fornitore"/>
    <tableColumn id="6" xr3:uid="{00000000-0010-0000-3000-000006000000}" name="Centro"/>
    <tableColumn id="7" xr3:uid="{00000000-0010-0000-3000-000007000000}" name="Costo lavorazione_x000a_[€/pz]"/>
    <tableColumn id="8" xr3:uid="{00000000-0010-0000-3000-000008000000}" name="Lead time medio_x000a_[gg]"/>
    <tableColumn id="9" xr3:uid="{00000000-0010-0000-3000-000009000000}" name="Not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bl_P001_025_007" displayName="tbl_P001_025_007" ref="A3:I30">
  <autoFilter ref="A3:I30" xr:uid="{00000000-0009-0000-0100-000032000000}"/>
  <tableColumns count="9">
    <tableColumn id="1" xr3:uid="{00000000-0010-0000-3100-000001000000}" name="Fase"/>
    <tableColumn id="2" xr3:uid="{00000000-0010-0000-3100-000002000000}" name="Descrizione fase"/>
    <tableColumn id="3" xr3:uid="{00000000-0010-0000-3100-000003000000}" name="Tipo"/>
    <tableColumn id="4" xr3:uid="{00000000-0010-0000-3100-000004000000}" name="Fornitore"/>
    <tableColumn id="5" xr3:uid="{00000000-0010-0000-3100-000005000000}" name="Codice fornitore"/>
    <tableColumn id="6" xr3:uid="{00000000-0010-0000-3100-000006000000}" name="Centro"/>
    <tableColumn id="7" xr3:uid="{00000000-0010-0000-3100-000007000000}" name="Costo lavorazione_x000a_[€/pz]"/>
    <tableColumn id="8" xr3:uid="{00000000-0010-0000-3100-000008000000}" name="Lead time medio_x000a_[gg]"/>
    <tableColumn id="9" xr3:uid="{00000000-0010-0000-3100-000009000000}" name="Not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bl_PM012216E" displayName="tbl_PM012216E" ref="A3:I30">
  <autoFilter ref="A3:I30" xr:uid="{00000000-0009-0000-0100-000033000000}"/>
  <tableColumns count="9">
    <tableColumn id="1" xr3:uid="{00000000-0010-0000-3200-000001000000}" name="Fase"/>
    <tableColumn id="2" xr3:uid="{00000000-0010-0000-3200-000002000000}" name="Descrizione fase"/>
    <tableColumn id="3" xr3:uid="{00000000-0010-0000-3200-000003000000}" name="Tipo"/>
    <tableColumn id="4" xr3:uid="{00000000-0010-0000-3200-000004000000}" name="Fornitore"/>
    <tableColumn id="5" xr3:uid="{00000000-0010-0000-3200-000005000000}" name="Codice fornitore"/>
    <tableColumn id="6" xr3:uid="{00000000-0010-0000-3200-000006000000}" name="Centro"/>
    <tableColumn id="7" xr3:uid="{00000000-0010-0000-3200-000007000000}" name="Costo lavorazione_x000a_[€/pz]"/>
    <tableColumn id="8" xr3:uid="{00000000-0010-0000-3200-000008000000}" name="Lead time medio_x000a_[gg]"/>
    <tableColumn id="9" xr3:uid="{00000000-0010-0000-3200-000009000000}" name="Not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bl_COMM_SF030" displayName="tbl_COMM_SF030" ref="A3:G6">
  <autoFilter ref="A3:G6" xr:uid="{00000000-0009-0000-0100-000034000000}"/>
  <tableColumns count="7">
    <tableColumn id="1" xr3:uid="{00000000-0010-0000-3300-000001000000}" name="Descrizione"/>
    <tableColumn id="2" xr3:uid="{00000000-0010-0000-3300-000002000000}" name="Fornitore"/>
    <tableColumn id="3" xr3:uid="{00000000-0010-0000-3300-000003000000}" name="Codice fornitore"/>
    <tableColumn id="4" xr3:uid="{00000000-0010-0000-3300-000004000000}" name="Prezzo [€/pz]"/>
    <tableColumn id="5" xr3:uid="{00000000-0010-0000-3300-000005000000}" name="Lotto minimo riordino [pz]"/>
    <tableColumn id="6" xr3:uid="{00000000-0010-0000-3300-000006000000}" name="Lead time medio [gg]"/>
    <tableColumn id="7" xr3:uid="{00000000-0010-0000-3300-000007000000}" name="Note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bl_COMM_A001-024-006" displayName="tbl_COMM_A001_024_006" ref="A3:G6">
  <autoFilter ref="A3:G6" xr:uid="{00000000-0009-0000-0100-000035000000}"/>
  <tableColumns count="7">
    <tableColumn id="1" xr3:uid="{00000000-0010-0000-3400-000001000000}" name="Descrizione"/>
    <tableColumn id="2" xr3:uid="{00000000-0010-0000-3400-000002000000}" name="Fornitore"/>
    <tableColumn id="3" xr3:uid="{00000000-0010-0000-3400-000003000000}" name="Codice fornitore"/>
    <tableColumn id="4" xr3:uid="{00000000-0010-0000-3400-000004000000}" name="Prezzo [€/pz]"/>
    <tableColumn id="5" xr3:uid="{00000000-0010-0000-3400-000005000000}" name="Lotto minimo riordino [pz]"/>
    <tableColumn id="6" xr3:uid="{00000000-0010-0000-3400-000006000000}" name="Lead time medio [gg]"/>
    <tableColumn id="7" xr3:uid="{00000000-0010-0000-3400-000007000000}" name="Not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bl_COMM_spina_1_x_6" displayName="tbl_COMM_spina_1_x_6" ref="A3:G6">
  <autoFilter ref="A3:G6" xr:uid="{00000000-0009-0000-0100-000036000000}"/>
  <tableColumns count="7">
    <tableColumn id="1" xr3:uid="{00000000-0010-0000-3500-000001000000}" name="Descrizione"/>
    <tableColumn id="2" xr3:uid="{00000000-0010-0000-3500-000002000000}" name="Fornitore"/>
    <tableColumn id="3" xr3:uid="{00000000-0010-0000-3500-000003000000}" name="Codice fornitore"/>
    <tableColumn id="4" xr3:uid="{00000000-0010-0000-3500-000004000000}" name="Prezzo [€/pz]"/>
    <tableColumn id="5" xr3:uid="{00000000-0010-0000-3500-000005000000}" name="Lotto minimo riordino [pz]"/>
    <tableColumn id="6" xr3:uid="{00000000-0010-0000-3500-000006000000}" name="Lead time medio [gg]"/>
    <tableColumn id="7" xr3:uid="{00000000-0010-0000-3500-000007000000}" name="Not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bl_COMM_SF1-8" displayName="tbl_COMM_SF1_8" ref="A3:G6">
  <autoFilter ref="A3:G6" xr:uid="{00000000-0009-0000-0100-000037000000}"/>
  <tableColumns count="7">
    <tableColumn id="1" xr3:uid="{00000000-0010-0000-3600-000001000000}" name="Descrizione"/>
    <tableColumn id="2" xr3:uid="{00000000-0010-0000-3600-000002000000}" name="Fornitore"/>
    <tableColumn id="3" xr3:uid="{00000000-0010-0000-3600-000003000000}" name="Codice fornitore"/>
    <tableColumn id="4" xr3:uid="{00000000-0010-0000-3600-000004000000}" name="Prezzo [€/pz]"/>
    <tableColumn id="5" xr3:uid="{00000000-0010-0000-3600-000005000000}" name="Lotto minimo riordino [pz]"/>
    <tableColumn id="6" xr3:uid="{00000000-0010-0000-3600-000006000000}" name="Lead time medio [gg]"/>
    <tableColumn id="7" xr3:uid="{00000000-0010-0000-3600-000007000000}" name="Note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bl_COMM_OR2021" displayName="tbl_COMM_OR2021" ref="A3:G6">
  <autoFilter ref="A3:G6" xr:uid="{00000000-0009-0000-0100-000038000000}"/>
  <tableColumns count="7">
    <tableColumn id="1" xr3:uid="{00000000-0010-0000-3700-000001000000}" name="Descrizione"/>
    <tableColumn id="2" xr3:uid="{00000000-0010-0000-3700-000002000000}" name="Fornitore"/>
    <tableColumn id="3" xr3:uid="{00000000-0010-0000-3700-000003000000}" name="Codice fornitore"/>
    <tableColumn id="4" xr3:uid="{00000000-0010-0000-3700-000004000000}" name="Prezzo [€/pz]"/>
    <tableColumn id="5" xr3:uid="{00000000-0010-0000-3700-000005000000}" name="Lotto minimo riordino [pz]"/>
    <tableColumn id="6" xr3:uid="{00000000-0010-0000-3700-000006000000}" name="Lead time medio [gg]"/>
    <tableColumn id="7" xr3:uid="{00000000-0010-0000-3700-000007000000}" name="Note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bl_COMM_A001-024-011" displayName="tbl_COMM_A001_024_011" ref="A3:G6">
  <autoFilter ref="A3:G6" xr:uid="{00000000-0009-0000-0100-000039000000}"/>
  <tableColumns count="7">
    <tableColumn id="1" xr3:uid="{00000000-0010-0000-3800-000001000000}" name="Descrizione"/>
    <tableColumn id="2" xr3:uid="{00000000-0010-0000-3800-000002000000}" name="Fornitore"/>
    <tableColumn id="3" xr3:uid="{00000000-0010-0000-3800-000003000000}" name="Codice fornitore"/>
    <tableColumn id="4" xr3:uid="{00000000-0010-0000-3800-000004000000}" name="Prezzo [€/pz]"/>
    <tableColumn id="5" xr3:uid="{00000000-0010-0000-3800-000005000000}" name="Lotto minimo riordino [pz]"/>
    <tableColumn id="6" xr3:uid="{00000000-0010-0000-3800-000006000000}" name="Lead time medio [gg]"/>
    <tableColumn id="7" xr3:uid="{00000000-0010-0000-3800-000007000000}" name="Note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bl_COMM_OR2043" displayName="tbl_COMM_OR2043" ref="A3:G6">
  <autoFilter ref="A3:G6" xr:uid="{00000000-0009-0000-0100-00003A000000}"/>
  <tableColumns count="7">
    <tableColumn id="1" xr3:uid="{00000000-0010-0000-3900-000001000000}" name="Descrizione"/>
    <tableColumn id="2" xr3:uid="{00000000-0010-0000-3900-000002000000}" name="Fornitore"/>
    <tableColumn id="3" xr3:uid="{00000000-0010-0000-3900-000003000000}" name="Codice fornitore"/>
    <tableColumn id="4" xr3:uid="{00000000-0010-0000-3900-000004000000}" name="Prezzo [€/pz]"/>
    <tableColumn id="5" xr3:uid="{00000000-0010-0000-3900-000005000000}" name="Lotto minimo riordino [pz]"/>
    <tableColumn id="6" xr3:uid="{00000000-0010-0000-3900-000006000000}" name="Lead time medio [gg]"/>
    <tableColumn id="7" xr3:uid="{00000000-0010-0000-3900-000007000000}" name="Note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bl_COMM_A001-024-002" displayName="tbl_COMM_A001_024_002" ref="A3:G6">
  <autoFilter ref="A3:G6" xr:uid="{00000000-0009-0000-0100-00003B000000}"/>
  <tableColumns count="7">
    <tableColumn id="1" xr3:uid="{00000000-0010-0000-3A00-000001000000}" name="Descrizione"/>
    <tableColumn id="2" xr3:uid="{00000000-0010-0000-3A00-000002000000}" name="Fornitore"/>
    <tableColumn id="3" xr3:uid="{00000000-0010-0000-3A00-000003000000}" name="Codice fornitore"/>
    <tableColumn id="4" xr3:uid="{00000000-0010-0000-3A00-000004000000}" name="Prezzo [€/pz]"/>
    <tableColumn id="5" xr3:uid="{00000000-0010-0000-3A00-000005000000}" name="Lotto minimo riordino [pz]"/>
    <tableColumn id="6" xr3:uid="{00000000-0010-0000-3A00-000006000000}" name="Lead time medio [gg]"/>
    <tableColumn id="7" xr3:uid="{00000000-0010-0000-3A00-000007000000}" name="Note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bl_COMM_or_3100" displayName="tbl_COMM_or_3100" ref="A3:G6">
  <autoFilter ref="A3:G6" xr:uid="{00000000-0009-0000-0100-00003C000000}"/>
  <tableColumns count="7">
    <tableColumn id="1" xr3:uid="{00000000-0010-0000-3B00-000001000000}" name="Descrizione"/>
    <tableColumn id="2" xr3:uid="{00000000-0010-0000-3B00-000002000000}" name="Fornitore"/>
    <tableColumn id="3" xr3:uid="{00000000-0010-0000-3B00-000003000000}" name="Codice fornitore"/>
    <tableColumn id="4" xr3:uid="{00000000-0010-0000-3B00-000004000000}" name="Prezzo [€/pz]"/>
    <tableColumn id="5" xr3:uid="{00000000-0010-0000-3B00-000005000000}" name="Lotto minimo riordino [pz]"/>
    <tableColumn id="6" xr3:uid="{00000000-0010-0000-3B00-000006000000}" name="Lead time medio [gg]"/>
    <tableColumn id="7" xr3:uid="{00000000-0010-0000-3B00-000007000000}" name="Note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bl_COMM_941625X19X3J5PO00" displayName="tbl_COMM_941625X19X3J5PO00" ref="A3:G6">
  <autoFilter ref="A3:G6" xr:uid="{00000000-0009-0000-0100-00003D000000}"/>
  <tableColumns count="7">
    <tableColumn id="1" xr3:uid="{00000000-0010-0000-3C00-000001000000}" name="Descrizione"/>
    <tableColumn id="2" xr3:uid="{00000000-0010-0000-3C00-000002000000}" name="Fornitore"/>
    <tableColumn id="3" xr3:uid="{00000000-0010-0000-3C00-000003000000}" name="Codice fornitore"/>
    <tableColumn id="4" xr3:uid="{00000000-0010-0000-3C00-000004000000}" name="Prezzo [€/pz]"/>
    <tableColumn id="5" xr3:uid="{00000000-0010-0000-3C00-000005000000}" name="Lotto minimo riordino [pz]"/>
    <tableColumn id="6" xr3:uid="{00000000-0010-0000-3C00-000006000000}" name="Lead time medio [gg]"/>
    <tableColumn id="7" xr3:uid="{00000000-0010-0000-3C00-000007000000}" name="Not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bl_COMM_or_2106" displayName="tbl_COMM_or_2106" ref="A3:G6">
  <autoFilter ref="A3:G6" xr:uid="{00000000-0009-0000-0100-00003E000000}"/>
  <tableColumns count="7">
    <tableColumn id="1" xr3:uid="{00000000-0010-0000-3D00-000001000000}" name="Descrizione"/>
    <tableColumn id="2" xr3:uid="{00000000-0010-0000-3D00-000002000000}" name="Fornitore"/>
    <tableColumn id="3" xr3:uid="{00000000-0010-0000-3D00-000003000000}" name="Codice fornitore"/>
    <tableColumn id="4" xr3:uid="{00000000-0010-0000-3D00-000004000000}" name="Prezzo [€/pz]"/>
    <tableColumn id="5" xr3:uid="{00000000-0010-0000-3D00-000005000000}" name="Lotto minimo riordino [pz]"/>
    <tableColumn id="6" xr3:uid="{00000000-0010-0000-3D00-000006000000}" name="Lead time medio [gg]"/>
    <tableColumn id="7" xr3:uid="{00000000-0010-0000-3D00-000007000000}" name="Note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bl_COMM_A001-024-007A" displayName="tbl_COMM_A001_024_007A" ref="A3:G6">
  <autoFilter ref="A3:G6" xr:uid="{00000000-0009-0000-0100-00003F000000}"/>
  <tableColumns count="7">
    <tableColumn id="1" xr3:uid="{00000000-0010-0000-3E00-000001000000}" name="Descrizione"/>
    <tableColumn id="2" xr3:uid="{00000000-0010-0000-3E00-000002000000}" name="Fornitore"/>
    <tableColumn id="3" xr3:uid="{00000000-0010-0000-3E00-000003000000}" name="Codice fornitore"/>
    <tableColumn id="4" xr3:uid="{00000000-0010-0000-3E00-000004000000}" name="Prezzo [€/pz]"/>
    <tableColumn id="5" xr3:uid="{00000000-0010-0000-3E00-000005000000}" name="Lotto minimo riordino [pz]"/>
    <tableColumn id="6" xr3:uid="{00000000-0010-0000-3E00-000006000000}" name="Lead time medio [gg]"/>
    <tableColumn id="7" xr3:uid="{00000000-0010-0000-3E00-000007000000}" name="Note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bl_COMM_A001-024-005E" displayName="tbl_COMM_A001_024_005E" ref="A3:G6">
  <autoFilter ref="A3:G6" xr:uid="{00000000-0009-0000-0100-000040000000}"/>
  <tableColumns count="7">
    <tableColumn id="1" xr3:uid="{00000000-0010-0000-3F00-000001000000}" name="Descrizione"/>
    <tableColumn id="2" xr3:uid="{00000000-0010-0000-3F00-000002000000}" name="Fornitore"/>
    <tableColumn id="3" xr3:uid="{00000000-0010-0000-3F00-000003000000}" name="Codice fornitore"/>
    <tableColumn id="4" xr3:uid="{00000000-0010-0000-3F00-000004000000}" name="Prezzo [€/pz]"/>
    <tableColumn id="5" xr3:uid="{00000000-0010-0000-3F00-000005000000}" name="Lotto minimo riordino [pz]"/>
    <tableColumn id="6" xr3:uid="{00000000-0010-0000-3F00-000006000000}" name="Lead time medio [gg]"/>
    <tableColumn id="7" xr3:uid="{00000000-0010-0000-3F00-000007000000}" name="Note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bl_COMM_VNR5" displayName="tbl_COMM_VNR5" ref="A3:G6">
  <autoFilter ref="A3:G6" xr:uid="{00000000-0009-0000-0100-000041000000}"/>
  <tableColumns count="7">
    <tableColumn id="1" xr3:uid="{00000000-0010-0000-4000-000001000000}" name="Descrizione"/>
    <tableColumn id="2" xr3:uid="{00000000-0010-0000-4000-000002000000}" name="Fornitore"/>
    <tableColumn id="3" xr3:uid="{00000000-0010-0000-4000-000003000000}" name="Codice fornitore"/>
    <tableColumn id="4" xr3:uid="{00000000-0010-0000-4000-000004000000}" name="Prezzo [€/pz]"/>
    <tableColumn id="5" xr3:uid="{00000000-0010-0000-4000-000005000000}" name="Lotto minimo riordino [pz]"/>
    <tableColumn id="6" xr3:uid="{00000000-0010-0000-4000-000006000000}" name="Lead time medio [gg]"/>
    <tableColumn id="7" xr3:uid="{00000000-0010-0000-4000-000007000000}" name="Note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bl_COMM_SF001J5" displayName="tbl_COMM_SF001J5" ref="A3:G6">
  <autoFilter ref="A3:G6" xr:uid="{00000000-0009-0000-0100-000042000000}"/>
  <tableColumns count="7">
    <tableColumn id="1" xr3:uid="{00000000-0010-0000-4100-000001000000}" name="Descrizione"/>
    <tableColumn id="2" xr3:uid="{00000000-0010-0000-4100-000002000000}" name="Fornitore"/>
    <tableColumn id="3" xr3:uid="{00000000-0010-0000-4100-000003000000}" name="Codice fornitore"/>
    <tableColumn id="4" xr3:uid="{00000000-0010-0000-4100-000004000000}" name="Prezzo [€/pz]"/>
    <tableColumn id="5" xr3:uid="{00000000-0010-0000-4100-000005000000}" name="Lotto minimo riordino [pz]"/>
    <tableColumn id="6" xr3:uid="{00000000-0010-0000-4100-000006000000}" name="Lead time medio [gg]"/>
    <tableColumn id="7" xr3:uid="{00000000-0010-0000-4100-000007000000}" name="Not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bl_COMM_OR2081" displayName="tbl_COMM_OR2081" ref="A3:G6">
  <autoFilter ref="A3:G6" xr:uid="{00000000-0009-0000-0100-000043000000}"/>
  <tableColumns count="7">
    <tableColumn id="1" xr3:uid="{00000000-0010-0000-4200-000001000000}" name="Descrizione"/>
    <tableColumn id="2" xr3:uid="{00000000-0010-0000-4200-000002000000}" name="Fornitore"/>
    <tableColumn id="3" xr3:uid="{00000000-0010-0000-4200-000003000000}" name="Codice fornitore"/>
    <tableColumn id="4" xr3:uid="{00000000-0010-0000-4200-000004000000}" name="Prezzo [€/pz]"/>
    <tableColumn id="5" xr3:uid="{00000000-0010-0000-4200-000005000000}" name="Lotto minimo riordino [pz]"/>
    <tableColumn id="6" xr3:uid="{00000000-0010-0000-4200-000006000000}" name="Lead time medio [gg]"/>
    <tableColumn id="7" xr3:uid="{00000000-0010-0000-4200-000007000000}" name="Note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bl_COMM_OR2087" displayName="tbl_COMM_OR2087" ref="A3:G6">
  <autoFilter ref="A3:G6" xr:uid="{00000000-0009-0000-0100-000044000000}"/>
  <tableColumns count="7">
    <tableColumn id="1" xr3:uid="{00000000-0010-0000-4300-000001000000}" name="Descrizione"/>
    <tableColumn id="2" xr3:uid="{00000000-0010-0000-4300-000002000000}" name="Fornitore"/>
    <tableColumn id="3" xr3:uid="{00000000-0010-0000-4300-000003000000}" name="Codice fornitore"/>
    <tableColumn id="4" xr3:uid="{00000000-0010-0000-4300-000004000000}" name="Prezzo [€/pz]"/>
    <tableColumn id="5" xr3:uid="{00000000-0010-0000-4300-000005000000}" name="Lotto minimo riordino [pz]"/>
    <tableColumn id="6" xr3:uid="{00000000-0010-0000-4300-000006000000}" name="Lead time medio [gg]"/>
    <tableColumn id="7" xr3:uid="{00000000-0010-0000-4300-000007000000}" name="Note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bl_COMM_OR108" displayName="tbl_COMM_OR108" ref="A3:G6">
  <autoFilter ref="A3:G6" xr:uid="{00000000-0009-0000-0100-000045000000}"/>
  <tableColumns count="7">
    <tableColumn id="1" xr3:uid="{00000000-0010-0000-4400-000001000000}" name="Descrizione"/>
    <tableColumn id="2" xr3:uid="{00000000-0010-0000-4400-000002000000}" name="Fornitore"/>
    <tableColumn id="3" xr3:uid="{00000000-0010-0000-4400-000003000000}" name="Codice fornitore"/>
    <tableColumn id="4" xr3:uid="{00000000-0010-0000-4400-000004000000}" name="Prezzo [€/pz]"/>
    <tableColumn id="5" xr3:uid="{00000000-0010-0000-4400-000005000000}" name="Lotto minimo riordino [pz]"/>
    <tableColumn id="6" xr3:uid="{00000000-0010-0000-4400-000006000000}" name="Lead time medio [gg]"/>
    <tableColumn id="7" xr3:uid="{00000000-0010-0000-4400-000007000000}" name="Note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bl_COMM_OR2187" displayName="tbl_COMM_OR2187" ref="A3:G6">
  <autoFilter ref="A3:G6" xr:uid="{00000000-0009-0000-0100-000046000000}"/>
  <tableColumns count="7">
    <tableColumn id="1" xr3:uid="{00000000-0010-0000-4500-000001000000}" name="Descrizione"/>
    <tableColumn id="2" xr3:uid="{00000000-0010-0000-4500-000002000000}" name="Fornitore"/>
    <tableColumn id="3" xr3:uid="{00000000-0010-0000-4500-000003000000}" name="Codice fornitore"/>
    <tableColumn id="4" xr3:uid="{00000000-0010-0000-4500-000004000000}" name="Prezzo [€/pz]"/>
    <tableColumn id="5" xr3:uid="{00000000-0010-0000-4500-000005000000}" name="Lotto minimo riordino [pz]"/>
    <tableColumn id="6" xr3:uid="{00000000-0010-0000-4500-000006000000}" name="Lead time medio [gg]"/>
    <tableColumn id="7" xr3:uid="{00000000-0010-0000-4500-000007000000}" name="Note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bl_COMM_OR2031" displayName="tbl_COMM_OR2031" ref="A3:G6">
  <autoFilter ref="A3:G6" xr:uid="{00000000-0009-0000-0100-000047000000}"/>
  <tableColumns count="7">
    <tableColumn id="1" xr3:uid="{00000000-0010-0000-4600-000001000000}" name="Descrizione"/>
    <tableColumn id="2" xr3:uid="{00000000-0010-0000-4600-000002000000}" name="Fornitore"/>
    <tableColumn id="3" xr3:uid="{00000000-0010-0000-4600-000003000000}" name="Codice fornitore"/>
    <tableColumn id="4" xr3:uid="{00000000-0010-0000-4600-000004000000}" name="Prezzo [€/pz]"/>
    <tableColumn id="5" xr3:uid="{00000000-0010-0000-4600-000005000000}" name="Lotto minimo riordino [pz]"/>
    <tableColumn id="6" xr3:uid="{00000000-0010-0000-4600-000006000000}" name="Lead time medio [gg]"/>
    <tableColumn id="7" xr3:uid="{00000000-0010-0000-4600-000007000000}" name="Note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bl_COMM_SF3-32" displayName="tbl_COMM_SF3_32" ref="A3:G6">
  <autoFilter ref="A3:G6" xr:uid="{00000000-0009-0000-0100-000048000000}"/>
  <tableColumns count="7">
    <tableColumn id="1" xr3:uid="{00000000-0010-0000-4700-000001000000}" name="Descrizione"/>
    <tableColumn id="2" xr3:uid="{00000000-0010-0000-4700-000002000000}" name="Fornitore"/>
    <tableColumn id="3" xr3:uid="{00000000-0010-0000-4700-000003000000}" name="Codice fornitore"/>
    <tableColumn id="4" xr3:uid="{00000000-0010-0000-4700-000004000000}" name="Prezzo [€/pz]"/>
    <tableColumn id="5" xr3:uid="{00000000-0010-0000-4700-000005000000}" name="Lotto minimo riordino [pz]"/>
    <tableColumn id="6" xr3:uid="{00000000-0010-0000-4700-000006000000}" name="Lead time medio [gg]"/>
    <tableColumn id="7" xr3:uid="{00000000-0010-0000-4700-000007000000}" name="Note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bl_COMM_OR3118" displayName="tbl_COMM_OR3118" ref="A3:G6">
  <autoFilter ref="A3:G6" xr:uid="{00000000-0009-0000-0100-000049000000}"/>
  <tableColumns count="7">
    <tableColumn id="1" xr3:uid="{00000000-0010-0000-4800-000001000000}" name="Descrizione"/>
    <tableColumn id="2" xr3:uid="{00000000-0010-0000-4800-000002000000}" name="Fornitore"/>
    <tableColumn id="3" xr3:uid="{00000000-0010-0000-4800-000003000000}" name="Codice fornitore"/>
    <tableColumn id="4" xr3:uid="{00000000-0010-0000-4800-000004000000}" name="Prezzo [€/pz]"/>
    <tableColumn id="5" xr3:uid="{00000000-0010-0000-4800-000005000000}" name="Lotto minimo riordino [pz]"/>
    <tableColumn id="6" xr3:uid="{00000000-0010-0000-4800-000006000000}" name="Lead time medio [gg]"/>
    <tableColumn id="7" xr3:uid="{00000000-0010-0000-4800-000007000000}" name="Note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bl_COMM_OR4287" displayName="tbl_COMM_OR4287" ref="A3:G6">
  <autoFilter ref="A3:G6" xr:uid="{00000000-0009-0000-0100-00004A000000}"/>
  <tableColumns count="7">
    <tableColumn id="1" xr3:uid="{00000000-0010-0000-4900-000001000000}" name="Descrizione"/>
    <tableColumn id="2" xr3:uid="{00000000-0010-0000-4900-000002000000}" name="Fornitore"/>
    <tableColumn id="3" xr3:uid="{00000000-0010-0000-4900-000003000000}" name="Codice fornitore"/>
    <tableColumn id="4" xr3:uid="{00000000-0010-0000-4900-000004000000}" name="Prezzo [€/pz]"/>
    <tableColumn id="5" xr3:uid="{00000000-0010-0000-4900-000005000000}" name="Lotto minimo riordino [pz]"/>
    <tableColumn id="6" xr3:uid="{00000000-0010-0000-4900-000006000000}" name="Lead time medio [gg]"/>
    <tableColumn id="7" xr3:uid="{00000000-0010-0000-4900-000007000000}" name="Note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bl_COMM_OR3200" displayName="tbl_COMM_OR3200" ref="A3:G6">
  <autoFilter ref="A3:G6" xr:uid="{00000000-0009-0000-0100-00004B000000}"/>
  <tableColumns count="7">
    <tableColumn id="1" xr3:uid="{00000000-0010-0000-4A00-000001000000}" name="Descrizione"/>
    <tableColumn id="2" xr3:uid="{00000000-0010-0000-4A00-000002000000}" name="Fornitore"/>
    <tableColumn id="3" xr3:uid="{00000000-0010-0000-4A00-000003000000}" name="Codice fornitore"/>
    <tableColumn id="4" xr3:uid="{00000000-0010-0000-4A00-000004000000}" name="Prezzo [€/pz]"/>
    <tableColumn id="5" xr3:uid="{00000000-0010-0000-4A00-000005000000}" name="Lotto minimo riordino [pz]"/>
    <tableColumn id="6" xr3:uid="{00000000-0010-0000-4A00-000006000000}" name="Lead time medio [gg]"/>
    <tableColumn id="7" xr3:uid="{00000000-0010-0000-4A00-000007000000}" name="Note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bl_COMM_OR2200" displayName="tbl_COMM_OR2200" ref="A3:G6">
  <autoFilter ref="A3:G6" xr:uid="{00000000-0009-0000-0100-00004C000000}"/>
  <tableColumns count="7">
    <tableColumn id="1" xr3:uid="{00000000-0010-0000-4B00-000001000000}" name="Descrizione"/>
    <tableColumn id="2" xr3:uid="{00000000-0010-0000-4B00-000002000000}" name="Fornitore"/>
    <tableColumn id="3" xr3:uid="{00000000-0010-0000-4B00-000003000000}" name="Codice fornitore"/>
    <tableColumn id="4" xr3:uid="{00000000-0010-0000-4B00-000004000000}" name="Prezzo [€/pz]"/>
    <tableColumn id="5" xr3:uid="{00000000-0010-0000-4B00-000005000000}" name="Lotto minimo riordino [pz]"/>
    <tableColumn id="6" xr3:uid="{00000000-0010-0000-4B00-000006000000}" name="Lead time medio [gg]"/>
    <tableColumn id="7" xr3:uid="{00000000-0010-0000-4B00-000007000000}" name="Note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bl_COMM_A001-024-003C" displayName="tbl_COMM_A001_024_003C" ref="A3:G6">
  <autoFilter ref="A3:G6" xr:uid="{00000000-0009-0000-0100-00004D000000}"/>
  <tableColumns count="7">
    <tableColumn id="1" xr3:uid="{00000000-0010-0000-4C00-000001000000}" name="Descrizione"/>
    <tableColumn id="2" xr3:uid="{00000000-0010-0000-4C00-000002000000}" name="Fornitore"/>
    <tableColumn id="3" xr3:uid="{00000000-0010-0000-4C00-000003000000}" name="Codice fornitore"/>
    <tableColumn id="4" xr3:uid="{00000000-0010-0000-4C00-000004000000}" name="Prezzo [€/pz]"/>
    <tableColumn id="5" xr3:uid="{00000000-0010-0000-4C00-000005000000}" name="Lotto minimo riordino [pz]"/>
    <tableColumn id="6" xr3:uid="{00000000-0010-0000-4C00-000006000000}" name="Lead time medio [gg]"/>
    <tableColumn id="7" xr3:uid="{00000000-0010-0000-4C00-000007000000}" name="Note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bl_COMM_A001-025-003KOREA" displayName="tbl_COMM_A001_025_003KOREA" ref="A3:G6">
  <autoFilter ref="A3:G6" xr:uid="{00000000-0009-0000-0100-00004E000000}"/>
  <tableColumns count="7">
    <tableColumn id="1" xr3:uid="{00000000-0010-0000-4D00-000001000000}" name="Descrizione"/>
    <tableColumn id="2" xr3:uid="{00000000-0010-0000-4D00-000002000000}" name="Fornitore"/>
    <tableColumn id="3" xr3:uid="{00000000-0010-0000-4D00-000003000000}" name="Codice fornitore"/>
    <tableColumn id="4" xr3:uid="{00000000-0010-0000-4D00-000004000000}" name="Prezzo [€/pz]"/>
    <tableColumn id="5" xr3:uid="{00000000-0010-0000-4D00-000005000000}" name="Lotto minimo riordino [pz]"/>
    <tableColumn id="6" xr3:uid="{00000000-0010-0000-4D00-000006000000}" name="Lead time medio [gg]"/>
    <tableColumn id="7" xr3:uid="{00000000-0010-0000-4D00-000007000000}" name="Note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bl_COMM_A001-024-009" displayName="tbl_COMM_A001_024_009" ref="A3:G6">
  <autoFilter ref="A3:G6" xr:uid="{00000000-0009-0000-0100-00004F000000}"/>
  <tableColumns count="7">
    <tableColumn id="1" xr3:uid="{00000000-0010-0000-4E00-000001000000}" name="Descrizione"/>
    <tableColumn id="2" xr3:uid="{00000000-0010-0000-4E00-000002000000}" name="Fornitore"/>
    <tableColumn id="3" xr3:uid="{00000000-0010-0000-4E00-000003000000}" name="Codice fornitore"/>
    <tableColumn id="4" xr3:uid="{00000000-0010-0000-4E00-000004000000}" name="Prezzo [€/pz]"/>
    <tableColumn id="5" xr3:uid="{00000000-0010-0000-4E00-000005000000}" name="Lotto minimo riordino [pz]"/>
    <tableColumn id="6" xr3:uid="{00000000-0010-0000-4E00-000006000000}" name="Lead time medio [gg]"/>
    <tableColumn id="7" xr3:uid="{00000000-0010-0000-4E00-000007000000}" name="Note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bl_COMM_A001-024-010" displayName="tbl_COMM_A001_024_010" ref="A3:G6">
  <autoFilter ref="A3:G6" xr:uid="{00000000-0009-0000-0100-000050000000}"/>
  <tableColumns count="7">
    <tableColumn id="1" xr3:uid="{00000000-0010-0000-4F00-000001000000}" name="Descrizione"/>
    <tableColumn id="2" xr3:uid="{00000000-0010-0000-4F00-000002000000}" name="Fornitore"/>
    <tableColumn id="3" xr3:uid="{00000000-0010-0000-4F00-000003000000}" name="Codice fornitore"/>
    <tableColumn id="4" xr3:uid="{00000000-0010-0000-4F00-000004000000}" name="Prezzo [€/pz]"/>
    <tableColumn id="5" xr3:uid="{00000000-0010-0000-4F00-000005000000}" name="Lotto minimo riordino [pz]"/>
    <tableColumn id="6" xr3:uid="{00000000-0010-0000-4F00-000006000000}" name="Lead time medio [gg]"/>
    <tableColumn id="7" xr3:uid="{00000000-0010-0000-4F00-000007000000}" name="Note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bl_COMM_Dado_cieco_M8_DIN__1587" displayName="tbl_COMM_Dado_cieco_M8_DIN__1587" ref="A3:G6">
  <autoFilter ref="A3:G6" xr:uid="{00000000-0009-0000-0100-000051000000}"/>
  <tableColumns count="7">
    <tableColumn id="1" xr3:uid="{00000000-0010-0000-5000-000001000000}" name="Descrizione"/>
    <tableColumn id="2" xr3:uid="{00000000-0010-0000-5000-000002000000}" name="Fornitore"/>
    <tableColumn id="3" xr3:uid="{00000000-0010-0000-5000-000003000000}" name="Codice fornitore"/>
    <tableColumn id="4" xr3:uid="{00000000-0010-0000-5000-000004000000}" name="Prezzo [€/pz]"/>
    <tableColumn id="5" xr3:uid="{00000000-0010-0000-5000-000005000000}" name="Lotto minimo riordino [pz]"/>
    <tableColumn id="6" xr3:uid="{00000000-0010-0000-5000-000006000000}" name="Lead time medio [gg]"/>
    <tableColumn id="7" xr3:uid="{00000000-0010-0000-5000-000007000000}" name="Note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bl_COMM_DADO_FLANGIATO__M8" displayName="tbl_COMM_DADO_FLANGIATO__M8" ref="A3:G6">
  <autoFilter ref="A3:G6" xr:uid="{00000000-0009-0000-0100-000052000000}"/>
  <tableColumns count="7">
    <tableColumn id="1" xr3:uid="{00000000-0010-0000-5100-000001000000}" name="Descrizione"/>
    <tableColumn id="2" xr3:uid="{00000000-0010-0000-5100-000002000000}" name="Fornitore"/>
    <tableColumn id="3" xr3:uid="{00000000-0010-0000-5100-000003000000}" name="Codice fornitore"/>
    <tableColumn id="4" xr3:uid="{00000000-0010-0000-5100-000004000000}" name="Prezzo [€/pz]"/>
    <tableColumn id="5" xr3:uid="{00000000-0010-0000-5100-000005000000}" name="Lotto minimo riordino [pz]"/>
    <tableColumn id="6" xr3:uid="{00000000-0010-0000-5100-000006000000}" name="Lead time medio [gg]"/>
    <tableColumn id="7" xr3:uid="{00000000-0010-0000-5100-000007000000}" name="Note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bl_COMM_A001-025-002KOREA" displayName="tbl_COMM_A001_025_002KOREA" ref="A3:G6">
  <autoFilter ref="A3:G6" xr:uid="{00000000-0009-0000-0100-000053000000}"/>
  <tableColumns count="7">
    <tableColumn id="1" xr3:uid="{00000000-0010-0000-5200-000001000000}" name="Descrizione"/>
    <tableColumn id="2" xr3:uid="{00000000-0010-0000-5200-000002000000}" name="Fornitore"/>
    <tableColumn id="3" xr3:uid="{00000000-0010-0000-5200-000003000000}" name="Codice fornitore"/>
    <tableColumn id="4" xr3:uid="{00000000-0010-0000-5200-000004000000}" name="Prezzo [€/pz]"/>
    <tableColumn id="5" xr3:uid="{00000000-0010-0000-5200-000005000000}" name="Lotto minimo riordino [pz]"/>
    <tableColumn id="6" xr3:uid="{00000000-0010-0000-5200-000006000000}" name="Lead time medio [gg]"/>
    <tableColumn id="7" xr3:uid="{00000000-0010-0000-5200-000007000000}" name="Note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bl_COMM_OR4061" displayName="tbl_COMM_OR4061" ref="A3:G6">
  <autoFilter ref="A3:G6" xr:uid="{00000000-0009-0000-0100-000054000000}"/>
  <tableColumns count="7">
    <tableColumn id="1" xr3:uid="{00000000-0010-0000-5300-000001000000}" name="Descrizione"/>
    <tableColumn id="2" xr3:uid="{00000000-0010-0000-5300-000002000000}" name="Fornitore"/>
    <tableColumn id="3" xr3:uid="{00000000-0010-0000-5300-000003000000}" name="Codice fornitore"/>
    <tableColumn id="4" xr3:uid="{00000000-0010-0000-5300-000004000000}" name="Prezzo [€/pz]"/>
    <tableColumn id="5" xr3:uid="{00000000-0010-0000-5300-000005000000}" name="Lotto minimo riordino [pz]"/>
    <tableColumn id="6" xr3:uid="{00000000-0010-0000-5300-000006000000}" name="Lead time medio [gg]"/>
    <tableColumn id="7" xr3:uid="{00000000-0010-0000-5300-000007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zoomScale="93" zoomScaleNormal="70" workbookViewId="0">
      <selection activeCell="H1" sqref="H1"/>
    </sheetView>
  </sheetViews>
  <sheetFormatPr defaultRowHeight="15" x14ac:dyDescent="0.25"/>
  <cols>
    <col min="1" max="1" width="21.140625" customWidth="1"/>
    <col min="2" max="2" width="30.5703125" customWidth="1"/>
    <col min="3" max="3" width="58.5703125" customWidth="1"/>
    <col min="4" max="4" width="30.5703125" style="35" hidden="1" customWidth="1"/>
    <col min="5" max="5" width="33.7109375" style="35" hidden="1" customWidth="1"/>
    <col min="6" max="6" width="33.140625" style="35" hidden="1" customWidth="1"/>
    <col min="7" max="7" width="28.5703125" style="35" hidden="1" customWidth="1"/>
    <col min="8" max="8" width="20.7109375" bestFit="1" customWidth="1"/>
    <col min="9" max="9" width="10.28515625" hidden="1" customWidth="1"/>
    <col min="10" max="10" width="28.28515625" customWidth="1"/>
    <col min="11" max="11" width="13.85546875" hidden="1" customWidth="1"/>
    <col min="12" max="12" width="9.140625" customWidth="1"/>
    <col min="13" max="13" width="25.85546875" hidden="1" customWidth="1"/>
  </cols>
  <sheetData>
    <row r="1" spans="1:13" ht="30" x14ac:dyDescent="0.25">
      <c r="A1" s="31" t="s">
        <v>373</v>
      </c>
      <c r="B1" s="12" t="s">
        <v>0</v>
      </c>
      <c r="C1" s="12" t="s">
        <v>1</v>
      </c>
      <c r="D1" s="37" t="s">
        <v>393</v>
      </c>
      <c r="E1" s="37" t="s">
        <v>390</v>
      </c>
      <c r="F1" s="37" t="s">
        <v>391</v>
      </c>
      <c r="G1" s="37" t="s">
        <v>392</v>
      </c>
      <c r="H1" s="12" t="s">
        <v>404</v>
      </c>
      <c r="I1" s="12" t="s">
        <v>2</v>
      </c>
      <c r="J1" s="12" t="s">
        <v>3</v>
      </c>
      <c r="K1" s="12" t="s">
        <v>4</v>
      </c>
      <c r="L1" t="s">
        <v>386</v>
      </c>
      <c r="M1" s="35" t="s">
        <v>389</v>
      </c>
    </row>
    <row r="2" spans="1:13" ht="15.75" customHeight="1" x14ac:dyDescent="0.25">
      <c r="A2" s="13">
        <v>1</v>
      </c>
      <c r="B2" s="14" t="s">
        <v>5</v>
      </c>
      <c r="C2" s="12" t="s">
        <v>6</v>
      </c>
      <c r="D2" s="37" t="s">
        <v>394</v>
      </c>
      <c r="E2" s="37">
        <v>230</v>
      </c>
      <c r="F2" s="37">
        <v>220</v>
      </c>
      <c r="G2" s="37">
        <v>130</v>
      </c>
      <c r="H2" s="12">
        <v>1</v>
      </c>
      <c r="I2" s="12">
        <v>10061.51</v>
      </c>
      <c r="J2" s="12" t="s">
        <v>7</v>
      </c>
      <c r="K2" s="12">
        <f>(( I2/1000 )*'P001-025-001B'!$F$1 + SUM('P001-025-001B'!$G$4:'P001-025-001B'!$G$30))*H2</f>
        <v>10091.51</v>
      </c>
      <c r="L2" t="s">
        <v>385</v>
      </c>
      <c r="M2" s="35">
        <f>150*Tabella1[[#This Row],[Quantità]]</f>
        <v>150</v>
      </c>
    </row>
    <row r="3" spans="1:13" ht="15.75" customHeight="1" x14ac:dyDescent="0.25">
      <c r="A3" s="13">
        <v>2</v>
      </c>
      <c r="B3" s="14" t="s">
        <v>8</v>
      </c>
      <c r="C3" s="12" t="s">
        <v>402</v>
      </c>
      <c r="D3" s="37" t="s">
        <v>395</v>
      </c>
      <c r="E3" s="37" t="s">
        <v>396</v>
      </c>
      <c r="F3" s="37" t="s">
        <v>397</v>
      </c>
      <c r="G3" s="37"/>
      <c r="H3" s="12">
        <v>2</v>
      </c>
      <c r="I3" s="12">
        <v>16.46</v>
      </c>
      <c r="J3" s="12" t="s">
        <v>10</v>
      </c>
      <c r="K3" s="12">
        <f>(( I3/1000 )*'P001-025-002'!$F$1 + SUM('P001-025-002'!$G$4:'P001-025-002'!$G$30))*H3</f>
        <v>0</v>
      </c>
      <c r="L3" t="s">
        <v>385</v>
      </c>
      <c r="M3" s="35">
        <f>150*Tabella1[[#This Row],[Quantità]]</f>
        <v>300</v>
      </c>
    </row>
    <row r="4" spans="1:13" ht="15.75" customHeight="1" x14ac:dyDescent="0.25">
      <c r="A4" s="13">
        <v>3</v>
      </c>
      <c r="B4" s="14" t="s">
        <v>11</v>
      </c>
      <c r="C4" s="12" t="s">
        <v>403</v>
      </c>
      <c r="D4" s="37" t="s">
        <v>395</v>
      </c>
      <c r="E4" s="37" t="s">
        <v>396</v>
      </c>
      <c r="F4" s="37" t="s">
        <v>398</v>
      </c>
      <c r="G4" s="37"/>
      <c r="H4" s="12">
        <v>2</v>
      </c>
      <c r="I4" s="12">
        <v>22.28</v>
      </c>
      <c r="J4" s="12" t="s">
        <v>10</v>
      </c>
      <c r="K4" s="12">
        <f>(( I4/1000 )*'P001-024-019B'!$F$1 + SUM('P001-024-019B'!$G$4:'P001-024-019B'!$G$30))*H4</f>
        <v>200</v>
      </c>
      <c r="L4" t="s">
        <v>385</v>
      </c>
      <c r="M4" s="35">
        <f>150*Tabella1[[#This Row],[Quantità]]</f>
        <v>300</v>
      </c>
    </row>
    <row r="5" spans="1:13" ht="15.75" customHeight="1" x14ac:dyDescent="0.25">
      <c r="A5" s="13">
        <v>4</v>
      </c>
      <c r="B5" s="14" t="s">
        <v>13</v>
      </c>
      <c r="C5" s="12" t="s">
        <v>14</v>
      </c>
      <c r="D5" s="37"/>
      <c r="E5" s="37"/>
      <c r="F5" s="37"/>
      <c r="G5" s="37"/>
      <c r="H5" s="12">
        <v>2</v>
      </c>
      <c r="I5" s="12">
        <v>100</v>
      </c>
      <c r="J5" s="12" t="s">
        <v>7</v>
      </c>
      <c r="K5" s="12">
        <f>(( I5/1000 )*'P001-025-003'!$F$1 + SUM('P001-025-003'!$G$4:'P001-025-003'!$G$30))*H5</f>
        <v>0</v>
      </c>
      <c r="L5" t="s">
        <v>385</v>
      </c>
      <c r="M5" s="35">
        <f>150*Tabella1[[#This Row],[Quantità]]</f>
        <v>300</v>
      </c>
    </row>
    <row r="6" spans="1:13" ht="15.75" customHeight="1" x14ac:dyDescent="0.25">
      <c r="A6" s="13">
        <v>5</v>
      </c>
      <c r="B6" s="14" t="s">
        <v>15</v>
      </c>
      <c r="C6" s="12" t="s">
        <v>16</v>
      </c>
      <c r="D6" s="37"/>
      <c r="E6" s="37"/>
      <c r="F6" s="37"/>
      <c r="G6" s="37"/>
      <c r="H6" s="12">
        <v>2</v>
      </c>
      <c r="I6" s="12">
        <v>3.13</v>
      </c>
      <c r="J6" s="12" t="s">
        <v>10</v>
      </c>
      <c r="K6" s="12">
        <f>(( I6/1000 )*'P001-024-008B'!$F$1 + SUM('P001-024-008B'!$G$4:'P001-024-008B'!$G$30))*H6</f>
        <v>0</v>
      </c>
      <c r="L6" t="s">
        <v>385</v>
      </c>
      <c r="M6" s="35">
        <f>150*Tabella1[[#This Row],[Quantità]]</f>
        <v>300</v>
      </c>
    </row>
    <row r="7" spans="1:13" x14ac:dyDescent="0.25">
      <c r="A7" s="13">
        <v>6</v>
      </c>
      <c r="B7" s="11" t="s">
        <v>17</v>
      </c>
      <c r="C7" s="12" t="s">
        <v>18</v>
      </c>
      <c r="D7" s="37"/>
      <c r="E7" s="37"/>
      <c r="F7" s="37"/>
      <c r="G7" s="37"/>
      <c r="H7" s="12">
        <v>4</v>
      </c>
      <c r="I7" s="12">
        <v>31</v>
      </c>
      <c r="J7" s="12" t="s">
        <v>7</v>
      </c>
      <c r="K7" s="12">
        <f>COMM_SF030!$D$4*H7</f>
        <v>0</v>
      </c>
      <c r="L7" t="s">
        <v>387</v>
      </c>
      <c r="M7" s="35">
        <f>150*Tabella1[[#This Row],[Quantità]]</f>
        <v>600</v>
      </c>
    </row>
    <row r="8" spans="1:13" x14ac:dyDescent="0.25">
      <c r="A8" s="13">
        <v>7</v>
      </c>
      <c r="B8" s="20" t="s">
        <v>19</v>
      </c>
      <c r="C8" s="12" t="s">
        <v>20</v>
      </c>
      <c r="D8" s="37"/>
      <c r="E8" s="37"/>
      <c r="F8" s="37"/>
      <c r="G8" s="37"/>
      <c r="H8" s="12">
        <v>2</v>
      </c>
      <c r="I8" s="12">
        <v>1</v>
      </c>
      <c r="J8" s="12"/>
      <c r="K8" s="12"/>
      <c r="L8" t="s">
        <v>387</v>
      </c>
      <c r="M8" s="35">
        <f>150*Tabella1[[#This Row],[Quantità]]</f>
        <v>300</v>
      </c>
    </row>
    <row r="9" spans="1:13" ht="15.75" customHeight="1" x14ac:dyDescent="0.25">
      <c r="A9" s="13" t="s">
        <v>21</v>
      </c>
      <c r="B9" s="14" t="s">
        <v>22</v>
      </c>
      <c r="C9" s="12" t="s">
        <v>23</v>
      </c>
      <c r="D9" s="37"/>
      <c r="E9" s="37"/>
      <c r="F9" s="37"/>
      <c r="G9" s="37"/>
      <c r="H9" s="12">
        <v>1</v>
      </c>
      <c r="I9" s="12">
        <v>0.99</v>
      </c>
      <c r="J9" s="12" t="s">
        <v>24</v>
      </c>
      <c r="K9" s="12">
        <f>(( I9/1000 )*'P001-024-031'!$F$1 + SUM('P001-024-031'!$G$4:'P001-024-031'!$G$30))*H9</f>
        <v>0</v>
      </c>
      <c r="L9" t="s">
        <v>387</v>
      </c>
      <c r="M9" s="35">
        <f>150*Tabella1[[#This Row],[Quantità]]</f>
        <v>150</v>
      </c>
    </row>
    <row r="10" spans="1:13" x14ac:dyDescent="0.25">
      <c r="A10" s="13" t="s">
        <v>25</v>
      </c>
      <c r="B10" s="11" t="s">
        <v>26</v>
      </c>
      <c r="C10" s="12" t="s">
        <v>27</v>
      </c>
      <c r="D10" s="37"/>
      <c r="E10" s="37"/>
      <c r="F10" s="37"/>
      <c r="G10" s="37"/>
      <c r="H10" s="12">
        <v>1</v>
      </c>
      <c r="I10" s="12">
        <v>1</v>
      </c>
      <c r="J10" s="12"/>
      <c r="K10" s="12"/>
      <c r="L10" t="s">
        <v>387</v>
      </c>
      <c r="M10" s="35">
        <f>150*Tabella1[[#This Row],[Quantità]]</f>
        <v>150</v>
      </c>
    </row>
    <row r="11" spans="1:13" x14ac:dyDescent="0.25">
      <c r="A11" s="13" t="s">
        <v>28</v>
      </c>
      <c r="B11" s="30" t="s">
        <v>29</v>
      </c>
      <c r="C11" s="12" t="s">
        <v>30</v>
      </c>
      <c r="D11" s="37"/>
      <c r="E11" s="37"/>
      <c r="F11" s="37"/>
      <c r="G11" s="37"/>
      <c r="H11" s="12">
        <v>1</v>
      </c>
      <c r="I11" s="12">
        <v>1</v>
      </c>
      <c r="J11" s="12" t="s">
        <v>31</v>
      </c>
      <c r="K11" s="12"/>
      <c r="L11" t="s">
        <v>387</v>
      </c>
      <c r="M11" s="35">
        <f>150*Tabella1[[#This Row],[Quantità]]</f>
        <v>150</v>
      </c>
    </row>
    <row r="12" spans="1:13" x14ac:dyDescent="0.25">
      <c r="A12" s="13" t="s">
        <v>32</v>
      </c>
      <c r="B12" s="11" t="s">
        <v>33</v>
      </c>
      <c r="C12" s="12"/>
      <c r="D12" s="37"/>
      <c r="E12" s="37"/>
      <c r="F12" s="37"/>
      <c r="G12" s="37"/>
      <c r="H12" s="12">
        <v>3</v>
      </c>
      <c r="I12" s="12">
        <v>1</v>
      </c>
      <c r="J12" s="12"/>
      <c r="K12" s="12"/>
      <c r="L12" t="s">
        <v>387</v>
      </c>
      <c r="M12" s="35">
        <f>150*Tabella1[[#This Row],[Quantità]]</f>
        <v>450</v>
      </c>
    </row>
    <row r="13" spans="1:13" x14ac:dyDescent="0.25">
      <c r="A13" s="13">
        <v>8</v>
      </c>
      <c r="B13" s="20" t="s">
        <v>34</v>
      </c>
      <c r="C13" s="12" t="s">
        <v>35</v>
      </c>
      <c r="D13" s="37"/>
      <c r="E13" s="37"/>
      <c r="F13" s="37"/>
      <c r="G13" s="37"/>
      <c r="H13" s="12">
        <v>2</v>
      </c>
      <c r="I13" s="12"/>
      <c r="J13" s="12"/>
      <c r="K13" s="12"/>
      <c r="L13" t="s">
        <v>387</v>
      </c>
      <c r="M13" s="35">
        <f>150*Tabella1[[#This Row],[Quantità]]</f>
        <v>300</v>
      </c>
    </row>
    <row r="14" spans="1:13" ht="15.75" customHeight="1" x14ac:dyDescent="0.25">
      <c r="A14" s="13" t="s">
        <v>36</v>
      </c>
      <c r="B14" s="14" t="s">
        <v>37</v>
      </c>
      <c r="C14" s="12" t="s">
        <v>38</v>
      </c>
      <c r="D14" s="37"/>
      <c r="E14" s="37"/>
      <c r="F14" s="37"/>
      <c r="G14" s="37"/>
      <c r="H14" s="12">
        <v>1</v>
      </c>
      <c r="I14" s="12">
        <v>2.4900000000000002</v>
      </c>
      <c r="J14" s="12" t="s">
        <v>24</v>
      </c>
      <c r="K14" s="12">
        <f>(( I14/1000 )*'P001-024-052'!$F$1 + SUM('P001-024-052'!$G$4:'P001-024-052'!$G$30))*H14</f>
        <v>0</v>
      </c>
      <c r="L14" t="s">
        <v>387</v>
      </c>
      <c r="M14" s="35">
        <f>150*Tabella1[[#This Row],[Quantità]]</f>
        <v>150</v>
      </c>
    </row>
    <row r="15" spans="1:13" x14ac:dyDescent="0.25">
      <c r="A15" s="13" t="s">
        <v>39</v>
      </c>
      <c r="B15" s="11" t="s">
        <v>40</v>
      </c>
      <c r="C15" s="12"/>
      <c r="D15" s="37"/>
      <c r="E15" s="37"/>
      <c r="F15" s="37"/>
      <c r="G15" s="37"/>
      <c r="H15" s="12">
        <v>3</v>
      </c>
      <c r="I15" s="12">
        <v>1</v>
      </c>
      <c r="J15" s="12"/>
      <c r="K15" s="12">
        <f>COMM_OR2043!$D$4*H15</f>
        <v>0</v>
      </c>
      <c r="L15" t="s">
        <v>387</v>
      </c>
      <c r="M15" s="35">
        <f>150*Tabella1[[#This Row],[Quantità]]</f>
        <v>450</v>
      </c>
    </row>
    <row r="16" spans="1:13" x14ac:dyDescent="0.25">
      <c r="A16" s="13">
        <v>9</v>
      </c>
      <c r="B16" s="20" t="s">
        <v>41</v>
      </c>
      <c r="C16" s="12" t="s">
        <v>42</v>
      </c>
      <c r="D16" s="37"/>
      <c r="E16" s="37"/>
      <c r="F16" s="37"/>
      <c r="G16" s="37"/>
      <c r="H16" s="12">
        <v>1</v>
      </c>
      <c r="I16" s="12">
        <v>56.67</v>
      </c>
      <c r="J16" s="12"/>
      <c r="K16" s="12"/>
      <c r="L16" t="s">
        <v>385</v>
      </c>
      <c r="M16" s="35">
        <f>150*Tabella1[[#This Row],[Quantità]]</f>
        <v>150</v>
      </c>
    </row>
    <row r="17" spans="1:13" x14ac:dyDescent="0.25">
      <c r="A17" s="13" t="s">
        <v>43</v>
      </c>
      <c r="B17" s="11" t="s">
        <v>44</v>
      </c>
      <c r="C17" s="12"/>
      <c r="D17" s="37"/>
      <c r="E17" s="37"/>
      <c r="F17" s="37"/>
      <c r="G17" s="37"/>
      <c r="H17" s="12">
        <v>2</v>
      </c>
      <c r="I17" s="12">
        <v>1</v>
      </c>
      <c r="J17" s="12"/>
      <c r="K17" s="12"/>
      <c r="L17" t="s">
        <v>387</v>
      </c>
      <c r="M17" s="35">
        <f>150*Tabella1[[#This Row],[Quantità]]</f>
        <v>300</v>
      </c>
    </row>
    <row r="18" spans="1:13" ht="15.75" customHeight="1" x14ac:dyDescent="0.25">
      <c r="A18" s="13" t="s">
        <v>45</v>
      </c>
      <c r="B18" s="14" t="s">
        <v>46</v>
      </c>
      <c r="C18" s="12" t="s">
        <v>47</v>
      </c>
      <c r="D18" s="37"/>
      <c r="E18" s="37"/>
      <c r="F18" s="37"/>
      <c r="G18" s="37"/>
      <c r="H18" s="12">
        <v>2</v>
      </c>
      <c r="I18" s="12">
        <v>0.24</v>
      </c>
      <c r="J18" s="12" t="s">
        <v>48</v>
      </c>
      <c r="K18" s="12">
        <f>(( I18/1000 )*'P001-024-028'!$F$1 + SUM('P001-024-028'!$G$4:'P001-024-028'!$G$30))*H18</f>
        <v>0</v>
      </c>
      <c r="L18" t="s">
        <v>387</v>
      </c>
      <c r="M18" s="35">
        <f>150*Tabella1[[#This Row],[Quantità]]</f>
        <v>300</v>
      </c>
    </row>
    <row r="19" spans="1:13" ht="15.75" customHeight="1" x14ac:dyDescent="0.25">
      <c r="A19" s="13" t="s">
        <v>49</v>
      </c>
      <c r="B19" s="14" t="s">
        <v>50</v>
      </c>
      <c r="C19" s="12" t="s">
        <v>51</v>
      </c>
      <c r="D19" s="37"/>
      <c r="E19" s="37"/>
      <c r="F19" s="37"/>
      <c r="G19" s="37"/>
      <c r="H19" s="12">
        <v>1</v>
      </c>
      <c r="I19" s="12">
        <v>16.399999999999999</v>
      </c>
      <c r="J19" s="12" t="s">
        <v>24</v>
      </c>
      <c r="K19" s="12">
        <f>(( I19/1000 )*'P001-024-012A'!$F$1 + SUM('P001-024-012A'!$G$4:'P001-024-012A'!$G$30))*H19</f>
        <v>0</v>
      </c>
      <c r="L19" t="s">
        <v>387</v>
      </c>
      <c r="M19" s="35">
        <f>150*Tabella1[[#This Row],[Quantità]]</f>
        <v>150</v>
      </c>
    </row>
    <row r="20" spans="1:13" ht="15.75" customHeight="1" x14ac:dyDescent="0.25">
      <c r="A20" s="13" t="s">
        <v>52</v>
      </c>
      <c r="B20" s="14" t="s">
        <v>53</v>
      </c>
      <c r="C20" s="12" t="s">
        <v>54</v>
      </c>
      <c r="D20" s="37"/>
      <c r="E20" s="37"/>
      <c r="F20" s="37"/>
      <c r="G20" s="37"/>
      <c r="H20" s="12">
        <v>1</v>
      </c>
      <c r="I20" s="12">
        <v>25.12</v>
      </c>
      <c r="J20" s="12" t="s">
        <v>24</v>
      </c>
      <c r="K20" s="12">
        <f>(( I20/1000 )*'P001-024-010A'!$F$1 + SUM('P001-024-010A'!$G$4:'P001-024-010A'!$G$30))*H20</f>
        <v>0</v>
      </c>
      <c r="L20" t="s">
        <v>387</v>
      </c>
      <c r="M20" s="35">
        <f>150*Tabella1[[#This Row],[Quantità]]</f>
        <v>150</v>
      </c>
    </row>
    <row r="21" spans="1:13" x14ac:dyDescent="0.25">
      <c r="A21" s="13" t="s">
        <v>55</v>
      </c>
      <c r="B21" s="11" t="s">
        <v>56</v>
      </c>
      <c r="C21" s="12" t="s">
        <v>57</v>
      </c>
      <c r="D21" s="37"/>
      <c r="E21" s="37"/>
      <c r="F21" s="37"/>
      <c r="G21" s="37"/>
      <c r="H21" s="12">
        <v>2</v>
      </c>
      <c r="I21" s="12">
        <v>0.1</v>
      </c>
      <c r="J21" s="12" t="s">
        <v>58</v>
      </c>
      <c r="K21" s="12">
        <f>COMM_941625X19X3J5PO00!$D$4*H21</f>
        <v>0</v>
      </c>
      <c r="L21" t="s">
        <v>387</v>
      </c>
      <c r="M21" s="35">
        <f>150*Tabella1[[#This Row],[Quantità]]</f>
        <v>300</v>
      </c>
    </row>
    <row r="22" spans="1:13" ht="15.75" customHeight="1" x14ac:dyDescent="0.25">
      <c r="A22" s="13" t="s">
        <v>59</v>
      </c>
      <c r="B22" s="14" t="s">
        <v>60</v>
      </c>
      <c r="C22" s="12" t="s">
        <v>61</v>
      </c>
      <c r="D22" s="37"/>
      <c r="E22" s="37"/>
      <c r="F22" s="37"/>
      <c r="G22" s="37"/>
      <c r="H22" s="12">
        <v>2</v>
      </c>
      <c r="I22" s="12">
        <v>5.59</v>
      </c>
      <c r="J22" s="12" t="s">
        <v>24</v>
      </c>
      <c r="K22" s="12">
        <f>(( I22/1000 )*'P001-024-011'!$F$1 + SUM('P001-024-011'!$G$4:'P001-024-011'!$G$30))*H22</f>
        <v>0</v>
      </c>
      <c r="L22" t="s">
        <v>387</v>
      </c>
      <c r="M22" s="35">
        <f>150*Tabella1[[#This Row],[Quantità]]</f>
        <v>300</v>
      </c>
    </row>
    <row r="23" spans="1:13" x14ac:dyDescent="0.25">
      <c r="A23" s="13" t="s">
        <v>62</v>
      </c>
      <c r="B23" s="11" t="s">
        <v>63</v>
      </c>
      <c r="C23" s="12"/>
      <c r="D23" s="37"/>
      <c r="E23" s="37"/>
      <c r="F23" s="37"/>
      <c r="G23" s="37"/>
      <c r="H23" s="12">
        <v>6</v>
      </c>
      <c r="I23" s="12">
        <v>1</v>
      </c>
      <c r="J23" s="12"/>
      <c r="K23" s="12"/>
      <c r="L23" t="s">
        <v>387</v>
      </c>
      <c r="M23" s="35">
        <f>150*Tabella1[[#This Row],[Quantità]]</f>
        <v>900</v>
      </c>
    </row>
    <row r="24" spans="1:13" ht="15.75" customHeight="1" x14ac:dyDescent="0.25">
      <c r="A24" s="13">
        <v>10</v>
      </c>
      <c r="B24" s="14" t="s">
        <v>64</v>
      </c>
      <c r="C24" s="12" t="s">
        <v>65</v>
      </c>
      <c r="D24" s="37"/>
      <c r="E24" s="37"/>
      <c r="F24" s="37"/>
      <c r="G24" s="37"/>
      <c r="H24" s="12">
        <v>2</v>
      </c>
      <c r="I24" s="12">
        <v>1.04</v>
      </c>
      <c r="J24" s="12" t="s">
        <v>24</v>
      </c>
      <c r="K24" s="12">
        <f>(( I24/1000 )*'P001-024-016'!$F$1 + SUM('P001-024-016'!$G$4:'P001-024-016'!$G$30))*H24</f>
        <v>0</v>
      </c>
      <c r="L24" t="s">
        <v>387</v>
      </c>
      <c r="M24" s="35">
        <f>150*Tabella1[[#This Row],[Quantità]]</f>
        <v>300</v>
      </c>
    </row>
    <row r="25" spans="1:13" x14ac:dyDescent="0.25">
      <c r="A25" s="13">
        <v>11</v>
      </c>
      <c r="B25" s="20" t="s">
        <v>66</v>
      </c>
      <c r="C25" s="12" t="s">
        <v>67</v>
      </c>
      <c r="D25" s="37"/>
      <c r="E25" s="37"/>
      <c r="F25" s="37"/>
      <c r="G25" s="37"/>
      <c r="H25" s="12">
        <v>1</v>
      </c>
      <c r="I25" s="12">
        <v>2918.18</v>
      </c>
      <c r="J25" s="12"/>
      <c r="K25" s="12"/>
      <c r="L25" t="s">
        <v>385</v>
      </c>
      <c r="M25" s="35">
        <f>150*Tabella1[[#This Row],[Quantità]]</f>
        <v>150</v>
      </c>
    </row>
    <row r="26" spans="1:13" ht="15.75" customHeight="1" x14ac:dyDescent="0.25">
      <c r="A26" s="13" t="s">
        <v>68</v>
      </c>
      <c r="B26" s="14" t="s">
        <v>69</v>
      </c>
      <c r="C26" s="12" t="s">
        <v>70</v>
      </c>
      <c r="D26" s="37"/>
      <c r="E26" s="37"/>
      <c r="F26" s="37"/>
      <c r="G26" s="37"/>
      <c r="H26" s="12">
        <v>1</v>
      </c>
      <c r="I26" s="12">
        <v>2316.62</v>
      </c>
      <c r="J26" s="12" t="s">
        <v>24</v>
      </c>
      <c r="K26" s="12">
        <f>(( I26/1000 )*'P001-024-021B'!$F$1 + SUM('P001-024-021B'!$G$4:'P001-024-021B'!$G$30))*H26</f>
        <v>0</v>
      </c>
      <c r="L26" t="s">
        <v>385</v>
      </c>
      <c r="M26" s="35">
        <f>150*Tabella1[[#This Row],[Quantità]]</f>
        <v>150</v>
      </c>
    </row>
    <row r="27" spans="1:13" x14ac:dyDescent="0.25">
      <c r="A27" s="13" t="s">
        <v>71</v>
      </c>
      <c r="B27" s="20" t="s">
        <v>72</v>
      </c>
      <c r="C27" s="12" t="s">
        <v>73</v>
      </c>
      <c r="D27" s="37"/>
      <c r="E27" s="37"/>
      <c r="F27" s="37"/>
      <c r="G27" s="37"/>
      <c r="H27" s="12">
        <v>1</v>
      </c>
      <c r="I27" s="12">
        <v>106.83</v>
      </c>
      <c r="J27" s="12"/>
      <c r="K27" s="12"/>
      <c r="L27" t="s">
        <v>385</v>
      </c>
      <c r="M27" s="35">
        <f>150*Tabella1[[#This Row],[Quantità]]</f>
        <v>150</v>
      </c>
    </row>
    <row r="28" spans="1:13" ht="15.75" customHeight="1" x14ac:dyDescent="0.25">
      <c r="A28" s="13" t="s">
        <v>74</v>
      </c>
      <c r="B28" s="14" t="s">
        <v>75</v>
      </c>
      <c r="C28" s="12" t="s">
        <v>76</v>
      </c>
      <c r="D28" s="37"/>
      <c r="E28" s="37"/>
      <c r="F28" s="37"/>
      <c r="G28" s="37"/>
      <c r="H28" s="12">
        <v>1</v>
      </c>
      <c r="I28" s="12">
        <v>77.72</v>
      </c>
      <c r="J28" s="12" t="s">
        <v>24</v>
      </c>
      <c r="K28" s="12">
        <f>(( I28/1000 )*'P001-024-022D'!$F$1 + SUM('P001-024-022D'!$G$4:'P001-024-022D'!$G$30))*H28</f>
        <v>0</v>
      </c>
      <c r="L28" t="s">
        <v>385</v>
      </c>
      <c r="M28" s="35">
        <f>150*Tabella1[[#This Row],[Quantità]]</f>
        <v>150</v>
      </c>
    </row>
    <row r="29" spans="1:13" ht="15.75" customHeight="1" x14ac:dyDescent="0.25">
      <c r="A29" s="13" t="s">
        <v>77</v>
      </c>
      <c r="B29" s="14" t="s">
        <v>78</v>
      </c>
      <c r="C29" s="12" t="s">
        <v>79</v>
      </c>
      <c r="D29" s="37"/>
      <c r="E29" s="37"/>
      <c r="F29" s="37"/>
      <c r="G29" s="37"/>
      <c r="H29" s="12">
        <v>1</v>
      </c>
      <c r="I29" s="12">
        <v>15.09</v>
      </c>
      <c r="J29" s="12" t="s">
        <v>80</v>
      </c>
      <c r="K29" s="12">
        <f>(( I29/1000 )*'P001-024-023D'!$F$1 + SUM('P001-024-023D'!$G$4:'P001-024-023D'!$G$30))*H29</f>
        <v>0</v>
      </c>
      <c r="L29" t="s">
        <v>385</v>
      </c>
      <c r="M29" s="35">
        <f>150*Tabella1[[#This Row],[Quantità]]</f>
        <v>150</v>
      </c>
    </row>
    <row r="30" spans="1:13" ht="15.75" customHeight="1" x14ac:dyDescent="0.25">
      <c r="A30" s="13" t="s">
        <v>81</v>
      </c>
      <c r="B30" s="14" t="s">
        <v>82</v>
      </c>
      <c r="C30" s="12" t="s">
        <v>83</v>
      </c>
      <c r="D30" s="37"/>
      <c r="E30" s="37"/>
      <c r="F30" s="37"/>
      <c r="G30" s="37"/>
      <c r="H30" s="12">
        <v>1</v>
      </c>
      <c r="I30" s="12">
        <v>3.47</v>
      </c>
      <c r="J30" s="12" t="s">
        <v>80</v>
      </c>
      <c r="K30" s="12">
        <f>(( I30/1000 )*'P001-024-024D'!$F$1 + SUM('P001-024-024D'!$G$4:'P001-024-024D'!$G$30))*H30</f>
        <v>0</v>
      </c>
      <c r="L30" t="s">
        <v>385</v>
      </c>
      <c r="M30" s="35">
        <f>150*Tabella1[[#This Row],[Quantità]]</f>
        <v>150</v>
      </c>
    </row>
    <row r="31" spans="1:13" ht="15.75" customHeight="1" x14ac:dyDescent="0.25">
      <c r="A31" s="13" t="s">
        <v>84</v>
      </c>
      <c r="B31" s="33" t="s">
        <v>85</v>
      </c>
      <c r="C31" s="12" t="s">
        <v>86</v>
      </c>
      <c r="D31" s="37"/>
      <c r="E31" s="37"/>
      <c r="F31" s="37"/>
      <c r="G31" s="37"/>
      <c r="H31" s="12">
        <v>1</v>
      </c>
      <c r="I31" s="12">
        <v>0.89</v>
      </c>
      <c r="J31" s="12" t="s">
        <v>87</v>
      </c>
      <c r="K31" s="12"/>
      <c r="L31" t="s">
        <v>387</v>
      </c>
      <c r="M31" s="35">
        <f>150*Tabella1[[#This Row],[Quantità]]</f>
        <v>150</v>
      </c>
    </row>
    <row r="32" spans="1:13" x14ac:dyDescent="0.25">
      <c r="A32" s="13" t="s">
        <v>88</v>
      </c>
      <c r="B32" s="30" t="s">
        <v>89</v>
      </c>
      <c r="C32" s="12" t="s">
        <v>90</v>
      </c>
      <c r="D32" s="37"/>
      <c r="E32" s="37"/>
      <c r="F32" s="37"/>
      <c r="G32" s="37"/>
      <c r="H32" s="12">
        <v>1</v>
      </c>
      <c r="I32" s="12">
        <v>0.13</v>
      </c>
      <c r="J32" s="12" t="s">
        <v>31</v>
      </c>
      <c r="K32" s="12"/>
      <c r="L32" t="s">
        <v>387</v>
      </c>
      <c r="M32" s="35">
        <f>150*Tabella1[[#This Row],[Quantità]]</f>
        <v>150</v>
      </c>
    </row>
    <row r="33" spans="1:13" x14ac:dyDescent="0.25">
      <c r="A33" s="13" t="s">
        <v>91</v>
      </c>
      <c r="B33" s="34" t="s">
        <v>92</v>
      </c>
      <c r="C33" s="12" t="s">
        <v>93</v>
      </c>
      <c r="D33" s="37"/>
      <c r="E33" s="37"/>
      <c r="F33" s="37"/>
      <c r="G33" s="37"/>
      <c r="H33" s="12">
        <v>1</v>
      </c>
      <c r="I33" s="12">
        <v>0.53900000000000003</v>
      </c>
      <c r="J33" s="12"/>
      <c r="K33" s="12">
        <f>COMM_VNR5!$D$4*H33</f>
        <v>0</v>
      </c>
      <c r="L33" t="s">
        <v>387</v>
      </c>
      <c r="M33" s="35">
        <f>150*Tabella1[[#This Row],[Quantità]]</f>
        <v>150</v>
      </c>
    </row>
    <row r="34" spans="1:13" ht="15.75" customHeight="1" x14ac:dyDescent="0.25">
      <c r="A34" s="13" t="s">
        <v>94</v>
      </c>
      <c r="B34" s="14" t="s">
        <v>95</v>
      </c>
      <c r="C34" s="12" t="s">
        <v>95</v>
      </c>
      <c r="D34" s="37"/>
      <c r="E34" s="37"/>
      <c r="F34" s="37"/>
      <c r="G34" s="37"/>
      <c r="H34" s="12">
        <v>1</v>
      </c>
      <c r="I34" s="12">
        <v>0.52100000000000002</v>
      </c>
      <c r="J34" s="12" t="s">
        <v>96</v>
      </c>
      <c r="K34" s="12">
        <f>(( I34/1000 )*'CORPO VNR'!$F$1 + SUM('CORPO VNR'!$G$4:'CORPO VNR'!$G$30))*H34</f>
        <v>0</v>
      </c>
      <c r="L34" t="s">
        <v>387</v>
      </c>
      <c r="M34" s="35">
        <f>150*Tabella1[[#This Row],[Quantità]]</f>
        <v>150</v>
      </c>
    </row>
    <row r="35" spans="1:13" x14ac:dyDescent="0.25">
      <c r="A35" s="13" t="s">
        <v>97</v>
      </c>
      <c r="B35" s="11" t="s">
        <v>98</v>
      </c>
      <c r="C35" s="12" t="s">
        <v>99</v>
      </c>
      <c r="D35" s="37"/>
      <c r="E35" s="37"/>
      <c r="F35" s="37"/>
      <c r="G35" s="37"/>
      <c r="H35" s="12">
        <v>1</v>
      </c>
      <c r="I35" s="12">
        <v>1.4E-2</v>
      </c>
      <c r="J35" s="12" t="s">
        <v>100</v>
      </c>
      <c r="K35" s="12">
        <f>COMM_SF001J5!$D$4*H35</f>
        <v>0</v>
      </c>
      <c r="L35" t="s">
        <v>387</v>
      </c>
      <c r="M35" s="35">
        <f>150*Tabella1[[#This Row],[Quantità]]</f>
        <v>150</v>
      </c>
    </row>
    <row r="36" spans="1:13" ht="15.75" customHeight="1" x14ac:dyDescent="0.25">
      <c r="A36" s="13" t="s">
        <v>101</v>
      </c>
      <c r="B36" s="14" t="s">
        <v>102</v>
      </c>
      <c r="C36" s="12" t="s">
        <v>103</v>
      </c>
      <c r="D36" s="37"/>
      <c r="E36" s="37"/>
      <c r="F36" s="37"/>
      <c r="G36" s="37"/>
      <c r="H36" s="12">
        <v>1</v>
      </c>
      <c r="I36" s="12">
        <v>3.0000000000000001E-3</v>
      </c>
      <c r="J36" s="12"/>
      <c r="K36" s="12"/>
      <c r="L36" t="s">
        <v>387</v>
      </c>
      <c r="M36" s="35">
        <f>150*Tabella1[[#This Row],[Quantità]]</f>
        <v>150</v>
      </c>
    </row>
    <row r="37" spans="1:13" x14ac:dyDescent="0.25">
      <c r="A37" s="13" t="s">
        <v>104</v>
      </c>
      <c r="B37" s="11" t="s">
        <v>105</v>
      </c>
      <c r="C37" s="12"/>
      <c r="D37" s="37"/>
      <c r="E37" s="37"/>
      <c r="F37" s="37"/>
      <c r="G37" s="37"/>
      <c r="H37" s="12">
        <v>1</v>
      </c>
      <c r="I37" s="12">
        <v>1</v>
      </c>
      <c r="J37" s="12"/>
      <c r="K37" s="12">
        <f>COMM_OR2081!$D$4*H37</f>
        <v>0</v>
      </c>
      <c r="L37" t="s">
        <v>387</v>
      </c>
      <c r="M37" s="35">
        <f>150*Tabella1[[#This Row],[Quantità]]</f>
        <v>150</v>
      </c>
    </row>
    <row r="38" spans="1:13" x14ac:dyDescent="0.25">
      <c r="A38" s="13" t="s">
        <v>106</v>
      </c>
      <c r="B38" s="11" t="s">
        <v>107</v>
      </c>
      <c r="C38" s="12"/>
      <c r="D38" s="37"/>
      <c r="E38" s="37"/>
      <c r="F38" s="37"/>
      <c r="G38" s="37"/>
      <c r="H38" s="12">
        <v>2</v>
      </c>
      <c r="I38" s="12">
        <v>1</v>
      </c>
      <c r="J38" s="12"/>
      <c r="K38" s="12">
        <f>COMM_OR2087!$D$4*H38</f>
        <v>0</v>
      </c>
      <c r="L38" t="s">
        <v>387</v>
      </c>
      <c r="M38" s="35">
        <f>150*Tabella1[[#This Row],[Quantità]]</f>
        <v>300</v>
      </c>
    </row>
    <row r="39" spans="1:13" ht="15.75" customHeight="1" x14ac:dyDescent="0.25">
      <c r="A39" s="13" t="s">
        <v>108</v>
      </c>
      <c r="B39" s="14" t="s">
        <v>109</v>
      </c>
      <c r="C39" s="12" t="s">
        <v>110</v>
      </c>
      <c r="D39" s="37"/>
      <c r="E39" s="37"/>
      <c r="F39" s="37"/>
      <c r="G39" s="37"/>
      <c r="H39" s="12">
        <v>1</v>
      </c>
      <c r="I39" s="12">
        <v>0.26</v>
      </c>
      <c r="J39" s="12" t="s">
        <v>80</v>
      </c>
      <c r="K39" s="12">
        <f>(( I39/1000 )*'P001-024-032'!$F$1 + SUM('P001-024-032'!$G$4:'P001-024-032'!$G$30))*H39</f>
        <v>0</v>
      </c>
      <c r="L39" t="s">
        <v>385</v>
      </c>
      <c r="M39" s="35">
        <f>150*Tabella1[[#This Row],[Quantità]]</f>
        <v>150</v>
      </c>
    </row>
    <row r="40" spans="1:13" x14ac:dyDescent="0.25">
      <c r="A40" s="13" t="s">
        <v>111</v>
      </c>
      <c r="B40" s="11" t="s">
        <v>112</v>
      </c>
      <c r="C40" s="12"/>
      <c r="D40" s="37"/>
      <c r="E40" s="37"/>
      <c r="F40" s="37"/>
      <c r="G40" s="37"/>
      <c r="H40" s="12">
        <v>1</v>
      </c>
      <c r="I40" s="12">
        <v>1</v>
      </c>
      <c r="J40" s="12"/>
      <c r="K40" s="12">
        <f>COMM_OR108!$D$4*H40</f>
        <v>0</v>
      </c>
      <c r="M40" s="35">
        <f>150*Tabella1[[#This Row],[Quantità]]</f>
        <v>150</v>
      </c>
    </row>
    <row r="41" spans="1:13" ht="15.75" customHeight="1" x14ac:dyDescent="0.25">
      <c r="A41" s="13" t="s">
        <v>113</v>
      </c>
      <c r="B41" s="14" t="s">
        <v>114</v>
      </c>
      <c r="C41" s="12" t="s">
        <v>115</v>
      </c>
      <c r="D41" s="37"/>
      <c r="E41" s="37"/>
      <c r="F41" s="37"/>
      <c r="G41" s="37"/>
      <c r="H41" s="12">
        <v>1</v>
      </c>
      <c r="I41" s="12">
        <v>7.41</v>
      </c>
      <c r="J41" s="12" t="s">
        <v>116</v>
      </c>
      <c r="K41" s="12">
        <f>(( I41/1000 )*'P001-024-037'!$F$1 + SUM('P001-024-037'!$G$4:'P001-024-037'!$G$30))*H41</f>
        <v>0</v>
      </c>
      <c r="L41" t="s">
        <v>385</v>
      </c>
      <c r="M41" s="35">
        <f>150*Tabella1[[#This Row],[Quantità]]</f>
        <v>150</v>
      </c>
    </row>
    <row r="42" spans="1:13" x14ac:dyDescent="0.25">
      <c r="A42" s="13" t="s">
        <v>117</v>
      </c>
      <c r="B42" s="11" t="s">
        <v>118</v>
      </c>
      <c r="C42" s="12"/>
      <c r="D42" s="37"/>
      <c r="E42" s="37"/>
      <c r="F42" s="37"/>
      <c r="G42" s="37"/>
      <c r="H42" s="12">
        <v>1</v>
      </c>
      <c r="I42" s="12">
        <v>1</v>
      </c>
      <c r="J42" s="12"/>
      <c r="K42" s="12">
        <f>COMM_OR2021!$D$4*H42</f>
        <v>0</v>
      </c>
      <c r="M42" s="35">
        <f>150*Tabella1[[#This Row],[Quantità]]</f>
        <v>150</v>
      </c>
    </row>
    <row r="43" spans="1:13" x14ac:dyDescent="0.25">
      <c r="A43" s="13" t="s">
        <v>119</v>
      </c>
      <c r="B43" s="11" t="s">
        <v>120</v>
      </c>
      <c r="C43" s="12"/>
      <c r="D43" s="37"/>
      <c r="E43" s="37"/>
      <c r="F43" s="37"/>
      <c r="G43" s="37"/>
      <c r="H43" s="12">
        <v>1</v>
      </c>
      <c r="I43" s="12">
        <v>1</v>
      </c>
      <c r="J43" s="12"/>
      <c r="K43" s="12">
        <f>COMM_OR2187!$D$4*H43</f>
        <v>0</v>
      </c>
      <c r="M43" s="35">
        <f>150*Tabella1[[#This Row],[Quantità]]</f>
        <v>150</v>
      </c>
    </row>
    <row r="44" spans="1:13" ht="15.75" customHeight="1" x14ac:dyDescent="0.25">
      <c r="A44" s="13" t="s">
        <v>121</v>
      </c>
      <c r="B44" s="14" t="s">
        <v>122</v>
      </c>
      <c r="C44" s="12" t="s">
        <v>123</v>
      </c>
      <c r="D44" s="37"/>
      <c r="E44" s="37"/>
      <c r="F44" s="37"/>
      <c r="G44" s="37"/>
      <c r="H44" s="12">
        <v>1</v>
      </c>
      <c r="I44" s="12">
        <v>0.03</v>
      </c>
      <c r="J44" s="12" t="s">
        <v>124</v>
      </c>
      <c r="K44" s="12">
        <f>(( I44/1000 )*'P001-024-035'!$F$1 + SUM('P001-024-035'!$G$4:'P001-024-035'!$G$30))*H44</f>
        <v>0</v>
      </c>
      <c r="L44" t="s">
        <v>385</v>
      </c>
      <c r="M44" s="35">
        <f>150*Tabella1[[#This Row],[Quantità]]</f>
        <v>150</v>
      </c>
    </row>
    <row r="45" spans="1:13" x14ac:dyDescent="0.25">
      <c r="A45" s="13" t="s">
        <v>125</v>
      </c>
      <c r="B45" s="11" t="s">
        <v>126</v>
      </c>
      <c r="C45" s="12"/>
      <c r="D45" s="37"/>
      <c r="E45" s="37"/>
      <c r="F45" s="37"/>
      <c r="G45" s="37"/>
      <c r="H45" s="12">
        <v>1</v>
      </c>
      <c r="I45" s="12">
        <v>1</v>
      </c>
      <c r="J45" s="12"/>
      <c r="K45" s="12">
        <f>COMM_OR2031!$D$4*H45</f>
        <v>0</v>
      </c>
      <c r="M45" s="35">
        <f>150*Tabella1[[#This Row],[Quantità]]</f>
        <v>150</v>
      </c>
    </row>
    <row r="46" spans="1:13" ht="15.75" customHeight="1" x14ac:dyDescent="0.25">
      <c r="A46" s="13" t="s">
        <v>127</v>
      </c>
      <c r="B46" s="14" t="s">
        <v>128</v>
      </c>
      <c r="C46" s="12" t="s">
        <v>129</v>
      </c>
      <c r="D46" s="37"/>
      <c r="E46" s="37"/>
      <c r="F46" s="37"/>
      <c r="G46" s="37"/>
      <c r="H46" s="12">
        <v>1</v>
      </c>
      <c r="I46" s="12">
        <v>0.04</v>
      </c>
      <c r="J46" s="12" t="s">
        <v>124</v>
      </c>
      <c r="K46" s="12">
        <f>(( I46/1000 )*'P001-024-036'!$F$1 + SUM('P001-024-036'!$G$4:'P001-024-036'!$G$30))*H46</f>
        <v>0</v>
      </c>
      <c r="L46" t="s">
        <v>385</v>
      </c>
      <c r="M46" s="35">
        <f>150*Tabella1[[#This Row],[Quantità]]</f>
        <v>150</v>
      </c>
    </row>
    <row r="47" spans="1:13" x14ac:dyDescent="0.25">
      <c r="A47" s="13" t="s">
        <v>130</v>
      </c>
      <c r="B47" s="30" t="s">
        <v>131</v>
      </c>
      <c r="C47" s="12" t="s">
        <v>132</v>
      </c>
      <c r="D47" s="37"/>
      <c r="E47" s="37"/>
      <c r="F47" s="37"/>
      <c r="G47" s="37"/>
      <c r="H47" s="12">
        <v>2</v>
      </c>
      <c r="I47" s="12">
        <v>0.06</v>
      </c>
      <c r="J47" s="12" t="s">
        <v>133</v>
      </c>
      <c r="K47" s="12"/>
      <c r="L47" t="s">
        <v>387</v>
      </c>
      <c r="M47" s="35">
        <f>150*Tabella1[[#This Row],[Quantità]]</f>
        <v>300</v>
      </c>
    </row>
    <row r="48" spans="1:13" ht="15.75" customHeight="1" x14ac:dyDescent="0.25">
      <c r="A48" s="13" t="s">
        <v>134</v>
      </c>
      <c r="B48" s="14" t="s">
        <v>135</v>
      </c>
      <c r="C48" s="12" t="s">
        <v>136</v>
      </c>
      <c r="D48" s="37"/>
      <c r="E48" s="37"/>
      <c r="F48" s="37"/>
      <c r="G48" s="37"/>
      <c r="H48" s="12">
        <v>1</v>
      </c>
      <c r="I48" s="12">
        <v>165.46</v>
      </c>
      <c r="J48" s="12" t="s">
        <v>116</v>
      </c>
      <c r="K48" s="12">
        <f>(( I48/1000 )*'P001-024-025B'!$F$1 + SUM('P001-024-025B'!$G$4:'P001-024-025B'!$G$30))*H48</f>
        <v>0</v>
      </c>
      <c r="L48" t="s">
        <v>385</v>
      </c>
      <c r="M48" s="35">
        <f>150*Tabella1[[#This Row],[Quantità]]</f>
        <v>150</v>
      </c>
    </row>
    <row r="49" spans="1:13" ht="15.75" customHeight="1" x14ac:dyDescent="0.25">
      <c r="A49" s="13" t="s">
        <v>137</v>
      </c>
      <c r="B49" s="14" t="s">
        <v>138</v>
      </c>
      <c r="C49" s="12" t="s">
        <v>139</v>
      </c>
      <c r="D49" s="37"/>
      <c r="E49" s="37"/>
      <c r="F49" s="37"/>
      <c r="G49" s="37"/>
      <c r="H49" s="12">
        <v>1</v>
      </c>
      <c r="I49" s="12">
        <v>70.959999999999994</v>
      </c>
      <c r="J49" s="12" t="s">
        <v>116</v>
      </c>
      <c r="K49" s="12">
        <f>(( I49/1000 )*'P001-024-026'!$F$1 + SUM('P001-024-026'!$G$4:'P001-024-026'!$G$30))*H49</f>
        <v>0</v>
      </c>
      <c r="L49" t="s">
        <v>385</v>
      </c>
      <c r="M49" s="35">
        <f>150*Tabella1[[#This Row],[Quantità]]</f>
        <v>150</v>
      </c>
    </row>
    <row r="50" spans="1:13" ht="15.75" customHeight="1" x14ac:dyDescent="0.25">
      <c r="A50" s="13" t="s">
        <v>140</v>
      </c>
      <c r="B50" s="14" t="s">
        <v>141</v>
      </c>
      <c r="C50" s="12" t="s">
        <v>142</v>
      </c>
      <c r="D50" s="37"/>
      <c r="E50" s="37"/>
      <c r="F50" s="37"/>
      <c r="G50" s="37"/>
      <c r="H50" s="12">
        <v>2</v>
      </c>
      <c r="I50" s="12">
        <v>0.56999999999999995</v>
      </c>
      <c r="J50" s="12" t="s">
        <v>24</v>
      </c>
      <c r="K50" s="12">
        <f>(( I50/1000 )*'P001-024-042'!$F$1 + SUM('P001-024-042'!$G$4:'P001-024-042'!$G$30))*H50</f>
        <v>0</v>
      </c>
      <c r="L50" t="s">
        <v>385</v>
      </c>
      <c r="M50" s="35">
        <f>150*Tabella1[[#This Row],[Quantità]]</f>
        <v>300</v>
      </c>
    </row>
    <row r="51" spans="1:13" ht="15.75" customHeight="1" x14ac:dyDescent="0.25">
      <c r="A51" s="13" t="s">
        <v>143</v>
      </c>
      <c r="B51" s="14" t="s">
        <v>144</v>
      </c>
      <c r="C51" s="12" t="s">
        <v>145</v>
      </c>
      <c r="D51" s="37"/>
      <c r="E51" s="37"/>
      <c r="F51" s="37"/>
      <c r="G51" s="37"/>
      <c r="H51" s="12">
        <v>3</v>
      </c>
      <c r="I51" s="12">
        <v>67.66</v>
      </c>
      <c r="J51" s="12" t="s">
        <v>146</v>
      </c>
      <c r="K51" s="12">
        <f>(( I51/1000 )*'P001-024-041A'!$F$1 + SUM('P001-024-041A'!$G$4:'P001-024-041A'!$G$30))*H51</f>
        <v>0</v>
      </c>
      <c r="L51" t="s">
        <v>387</v>
      </c>
      <c r="M51" s="35">
        <f>150*Tabella1[[#This Row],[Quantità]]</f>
        <v>450</v>
      </c>
    </row>
    <row r="52" spans="1:13" ht="15.75" customHeight="1" x14ac:dyDescent="0.25">
      <c r="A52" s="13" t="s">
        <v>147</v>
      </c>
      <c r="B52" s="14" t="s">
        <v>148</v>
      </c>
      <c r="C52" s="12" t="s">
        <v>149</v>
      </c>
      <c r="D52" s="37"/>
      <c r="E52" s="37"/>
      <c r="F52" s="37"/>
      <c r="G52" s="37"/>
      <c r="H52" s="12">
        <v>1</v>
      </c>
      <c r="I52" s="12">
        <v>2.2000000000000002</v>
      </c>
      <c r="J52" s="12" t="s">
        <v>150</v>
      </c>
      <c r="K52" s="12">
        <f>(( I52/1000 )*'P001-024-043'!$F$1 + SUM('P001-024-043'!$G$4:'P001-024-043'!$G$30))*H52</f>
        <v>0</v>
      </c>
      <c r="L52" t="s">
        <v>387</v>
      </c>
      <c r="M52" s="35">
        <f>150*Tabella1[[#This Row],[Quantità]]</f>
        <v>150</v>
      </c>
    </row>
    <row r="53" spans="1:13" ht="15.75" customHeight="1" x14ac:dyDescent="0.25">
      <c r="A53" s="13" t="s">
        <v>151</v>
      </c>
      <c r="B53" s="14" t="s">
        <v>152</v>
      </c>
      <c r="C53" s="12" t="s">
        <v>153</v>
      </c>
      <c r="D53" s="37"/>
      <c r="E53" s="37"/>
      <c r="F53" s="37"/>
      <c r="G53" s="37"/>
      <c r="H53" s="12">
        <v>1</v>
      </c>
      <c r="I53" s="12">
        <v>2.39</v>
      </c>
      <c r="J53" s="12" t="s">
        <v>154</v>
      </c>
      <c r="K53" s="12">
        <f>(( I53/1000 )*'P001-024-044'!$F$1 + SUM('P001-024-044'!$G$4:'P001-024-044'!$G$30))*H53</f>
        <v>0</v>
      </c>
      <c r="L53" t="s">
        <v>385</v>
      </c>
      <c r="M53" s="35">
        <f>150*Tabella1[[#This Row],[Quantità]]</f>
        <v>150</v>
      </c>
    </row>
    <row r="54" spans="1:13" ht="15.75" customHeight="1" x14ac:dyDescent="0.25">
      <c r="A54" s="13" t="s">
        <v>155</v>
      </c>
      <c r="B54" s="14" t="s">
        <v>156</v>
      </c>
      <c r="C54" s="12" t="s">
        <v>157</v>
      </c>
      <c r="D54" s="37"/>
      <c r="E54" s="37"/>
      <c r="F54" s="37"/>
      <c r="G54" s="37"/>
      <c r="H54" s="12">
        <v>1</v>
      </c>
      <c r="I54" s="12">
        <v>42.41</v>
      </c>
      <c r="J54" s="12" t="s">
        <v>154</v>
      </c>
      <c r="K54" s="12">
        <f>(( I54/1000 )*'P001-024-045'!$F$1 + SUM('P001-024-045'!$G$4:'P001-024-045'!$G$30))*H54</f>
        <v>0</v>
      </c>
      <c r="L54" t="s">
        <v>385</v>
      </c>
      <c r="M54" s="35">
        <f>150*Tabella1[[#This Row],[Quantità]]</f>
        <v>150</v>
      </c>
    </row>
    <row r="55" spans="1:13" x14ac:dyDescent="0.25">
      <c r="A55" s="13" t="s">
        <v>158</v>
      </c>
      <c r="B55" s="11" t="s">
        <v>159</v>
      </c>
      <c r="C55" s="12"/>
      <c r="D55" s="37"/>
      <c r="E55" s="37"/>
      <c r="F55" s="37"/>
      <c r="G55" s="37"/>
      <c r="H55" s="12">
        <v>1</v>
      </c>
      <c r="I55" s="12">
        <v>1</v>
      </c>
      <c r="J55" s="12"/>
      <c r="K55" s="12">
        <f>COMM_OR3118!$D$4*H55</f>
        <v>0</v>
      </c>
      <c r="L55" t="s">
        <v>387</v>
      </c>
      <c r="M55" s="35">
        <f>150*Tabella1[[#This Row],[Quantità]]</f>
        <v>150</v>
      </c>
    </row>
    <row r="56" spans="1:13" x14ac:dyDescent="0.25">
      <c r="A56" s="13" t="s">
        <v>160</v>
      </c>
      <c r="B56" s="11" t="s">
        <v>161</v>
      </c>
      <c r="C56" s="12"/>
      <c r="D56" s="37"/>
      <c r="E56" s="37"/>
      <c r="F56" s="37"/>
      <c r="G56" s="37"/>
      <c r="H56" s="12">
        <v>1</v>
      </c>
      <c r="I56" s="12">
        <v>1</v>
      </c>
      <c r="J56" s="12"/>
      <c r="K56" s="12">
        <f>COMM_OR4287!$D$4*H56</f>
        <v>0</v>
      </c>
      <c r="L56" t="s">
        <v>387</v>
      </c>
      <c r="M56" s="35">
        <f>150*Tabella1[[#This Row],[Quantità]]</f>
        <v>150</v>
      </c>
    </row>
    <row r="57" spans="1:13" x14ac:dyDescent="0.25">
      <c r="A57" s="13" t="s">
        <v>162</v>
      </c>
      <c r="B57" s="11" t="s">
        <v>163</v>
      </c>
      <c r="C57" s="12"/>
      <c r="D57" s="37"/>
      <c r="E57" s="37"/>
      <c r="F57" s="37"/>
      <c r="G57" s="37"/>
      <c r="H57" s="12">
        <v>1</v>
      </c>
      <c r="I57" s="12">
        <v>1</v>
      </c>
      <c r="J57" s="12"/>
      <c r="K57" s="12">
        <f>COMM_OR3200!$D$4*H57</f>
        <v>0</v>
      </c>
      <c r="L57" t="s">
        <v>387</v>
      </c>
      <c r="M57" s="35">
        <f>150*Tabella1[[#This Row],[Quantità]]</f>
        <v>150</v>
      </c>
    </row>
    <row r="58" spans="1:13" x14ac:dyDescent="0.25">
      <c r="A58" s="13" t="s">
        <v>164</v>
      </c>
      <c r="B58" s="11" t="s">
        <v>165</v>
      </c>
      <c r="C58" s="12"/>
      <c r="D58" s="37"/>
      <c r="E58" s="37"/>
      <c r="F58" s="37"/>
      <c r="G58" s="37"/>
      <c r="H58" s="12">
        <v>1</v>
      </c>
      <c r="I58" s="12">
        <v>1</v>
      </c>
      <c r="J58" s="12"/>
      <c r="K58" s="12">
        <f>COMM_OR2200!$D$4*H58</f>
        <v>0</v>
      </c>
      <c r="L58" t="s">
        <v>387</v>
      </c>
      <c r="M58" s="35">
        <f>150*Tabella1[[#This Row],[Quantità]]</f>
        <v>150</v>
      </c>
    </row>
    <row r="59" spans="1:13" ht="15.75" customHeight="1" x14ac:dyDescent="0.25">
      <c r="A59" s="13" t="s">
        <v>166</v>
      </c>
      <c r="B59" s="14" t="s">
        <v>167</v>
      </c>
      <c r="C59" s="12" t="s">
        <v>168</v>
      </c>
      <c r="D59" s="37"/>
      <c r="E59" s="37"/>
      <c r="F59" s="37"/>
      <c r="G59" s="37"/>
      <c r="H59" s="12">
        <v>1</v>
      </c>
      <c r="I59" s="12">
        <v>2.63</v>
      </c>
      <c r="J59" s="12" t="s">
        <v>116</v>
      </c>
      <c r="K59" s="12">
        <f>(( I59/1000 )*'P001-024-054'!$F$1 + SUM('P001-024-054'!$G$4:'P001-024-054'!$G$30))*H59</f>
        <v>0</v>
      </c>
      <c r="L59" t="s">
        <v>385</v>
      </c>
      <c r="M59" s="35">
        <f>150*Tabella1[[#This Row],[Quantità]]</f>
        <v>150</v>
      </c>
    </row>
    <row r="60" spans="1:13" ht="15.75" customHeight="1" x14ac:dyDescent="0.25">
      <c r="A60" s="13">
        <v>12</v>
      </c>
      <c r="B60" s="14" t="s">
        <v>169</v>
      </c>
      <c r="C60" s="12" t="s">
        <v>401</v>
      </c>
      <c r="D60" s="37" t="s">
        <v>395</v>
      </c>
      <c r="E60" s="37" t="s">
        <v>399</v>
      </c>
      <c r="F60" s="37" t="s">
        <v>400</v>
      </c>
      <c r="G60" s="37"/>
      <c r="H60" s="12">
        <v>2</v>
      </c>
      <c r="I60" s="12">
        <v>21.04</v>
      </c>
      <c r="J60" s="12" t="s">
        <v>171</v>
      </c>
      <c r="K60" s="12">
        <f>(( I60/1000 )*'P001-024-002B'!$F$1 + SUM('P001-024-002B'!$G$4:'P001-024-002B'!$G$30))*H60</f>
        <v>0</v>
      </c>
      <c r="L60" t="s">
        <v>385</v>
      </c>
      <c r="M60" s="35">
        <f>150*Tabella1[[#This Row],[Quantità]]</f>
        <v>300</v>
      </c>
    </row>
    <row r="61" spans="1:13" ht="15.75" customHeight="1" x14ac:dyDescent="0.25">
      <c r="A61" s="13">
        <v>13</v>
      </c>
      <c r="B61" s="14" t="s">
        <v>172</v>
      </c>
      <c r="C61" s="12" t="s">
        <v>173</v>
      </c>
      <c r="D61" s="37"/>
      <c r="E61" s="37"/>
      <c r="F61" s="37"/>
      <c r="G61" s="37"/>
      <c r="H61" s="12">
        <v>1</v>
      </c>
      <c r="I61" s="12">
        <v>59.49</v>
      </c>
      <c r="J61" s="12" t="s">
        <v>174</v>
      </c>
      <c r="K61" s="12">
        <f>(( I61/1000 )*'P001-024-004'!$F$1 + SUM('P001-024-004'!$G$4:'P001-024-004'!$G$30))*H61</f>
        <v>0</v>
      </c>
      <c r="L61" t="s">
        <v>387</v>
      </c>
      <c r="M61" s="35">
        <f>150*Tabella1[[#This Row],[Quantità]]</f>
        <v>150</v>
      </c>
    </row>
    <row r="62" spans="1:13" ht="15.75" customHeight="1" x14ac:dyDescent="0.25">
      <c r="A62" s="13">
        <v>14</v>
      </c>
      <c r="B62" s="14" t="s">
        <v>175</v>
      </c>
      <c r="C62" s="12" t="s">
        <v>176</v>
      </c>
      <c r="D62" s="37"/>
      <c r="E62" s="37"/>
      <c r="F62" s="37"/>
      <c r="G62" s="37"/>
      <c r="H62" s="12">
        <v>2</v>
      </c>
      <c r="I62" s="12">
        <v>65.349999999999994</v>
      </c>
      <c r="J62" s="12" t="s">
        <v>171</v>
      </c>
      <c r="K62" s="12">
        <f>(( I62/1000 )*'P001-024-005'!$F$1 + SUM('P001-024-005'!$G$4:'P001-024-005'!$G$30))*H62</f>
        <v>0</v>
      </c>
      <c r="L62" t="s">
        <v>385</v>
      </c>
      <c r="M62" s="35">
        <f>150*Tabella1[[#This Row],[Quantità]]</f>
        <v>300</v>
      </c>
    </row>
    <row r="63" spans="1:13" ht="15.75" customHeight="1" x14ac:dyDescent="0.25">
      <c r="A63" s="13">
        <v>15</v>
      </c>
      <c r="B63" s="14" t="s">
        <v>177</v>
      </c>
      <c r="C63" s="12" t="s">
        <v>178</v>
      </c>
      <c r="D63" s="37"/>
      <c r="E63" s="37"/>
      <c r="F63" s="37"/>
      <c r="G63" s="37"/>
      <c r="H63" s="12">
        <v>2</v>
      </c>
      <c r="I63" s="12">
        <v>68.959999999999994</v>
      </c>
      <c r="J63" s="12" t="s">
        <v>179</v>
      </c>
      <c r="K63" s="12">
        <f>(( I63/1000 )*'375923KE00'!$F$1 + SUM('375923KE00'!$G$4:'375923KE00'!$G$30))*H63</f>
        <v>0</v>
      </c>
      <c r="L63" t="s">
        <v>387</v>
      </c>
      <c r="M63" s="35">
        <f>150*Tabella1[[#This Row],[Quantità]]</f>
        <v>300</v>
      </c>
    </row>
    <row r="64" spans="1:13" ht="15.75" customHeight="1" x14ac:dyDescent="0.25">
      <c r="A64" s="13">
        <v>16</v>
      </c>
      <c r="B64" s="14" t="s">
        <v>180</v>
      </c>
      <c r="C64" s="12" t="s">
        <v>181</v>
      </c>
      <c r="D64" s="37"/>
      <c r="E64" s="37"/>
      <c r="F64" s="37"/>
      <c r="G64" s="37"/>
      <c r="H64" s="12">
        <v>2</v>
      </c>
      <c r="I64" s="12">
        <v>92.04</v>
      </c>
      <c r="J64" s="12" t="s">
        <v>182</v>
      </c>
      <c r="K64" s="12">
        <f>(( I64/1000 )*'P001-024-038'!$F$1 + SUM('P001-024-038'!$G$4:'P001-024-038'!$G$30))*H64</f>
        <v>0</v>
      </c>
      <c r="L64" t="s">
        <v>387</v>
      </c>
      <c r="M64" s="35">
        <f>150*Tabella1[[#This Row],[Quantità]]</f>
        <v>300</v>
      </c>
    </row>
    <row r="65" spans="1:13" x14ac:dyDescent="0.25">
      <c r="A65" s="13">
        <v>17</v>
      </c>
      <c r="B65" s="20" t="s">
        <v>183</v>
      </c>
      <c r="C65" s="12" t="s">
        <v>184</v>
      </c>
      <c r="D65" s="37"/>
      <c r="E65" s="37"/>
      <c r="F65" s="37"/>
      <c r="G65" s="37"/>
      <c r="H65" s="12">
        <v>1</v>
      </c>
      <c r="I65" s="12">
        <v>2918.18</v>
      </c>
      <c r="J65" s="12"/>
      <c r="K65" s="12"/>
      <c r="L65" t="s">
        <v>385</v>
      </c>
      <c r="M65" s="35">
        <f>150*Tabella1[[#This Row],[Quantità]]</f>
        <v>150</v>
      </c>
    </row>
    <row r="66" spans="1:13" ht="15.75" customHeight="1" x14ac:dyDescent="0.25">
      <c r="A66" s="13" t="s">
        <v>185</v>
      </c>
      <c r="B66" s="14" t="s">
        <v>186</v>
      </c>
      <c r="C66" s="12" t="s">
        <v>187</v>
      </c>
      <c r="D66" s="37"/>
      <c r="E66" s="37"/>
      <c r="F66" s="37"/>
      <c r="G66" s="37"/>
      <c r="H66" s="12">
        <v>1</v>
      </c>
      <c r="I66" s="12">
        <v>2316.62</v>
      </c>
      <c r="J66" s="12" t="s">
        <v>116</v>
      </c>
      <c r="K66" s="12">
        <f>(( I66/1000 )*'P001-024-015C'!$F$1 + SUM('P001-024-015C'!$G$4:'P001-024-015C'!$G$30))*H66</f>
        <v>0</v>
      </c>
      <c r="L66" t="s">
        <v>385</v>
      </c>
      <c r="M66" s="35">
        <f>150*Tabella1[[#This Row],[Quantità]]</f>
        <v>150</v>
      </c>
    </row>
    <row r="67" spans="1:13" x14ac:dyDescent="0.25">
      <c r="A67" s="13" t="s">
        <v>188</v>
      </c>
      <c r="B67" s="20" t="s">
        <v>72</v>
      </c>
      <c r="C67" s="12" t="s">
        <v>73</v>
      </c>
      <c r="D67" s="37"/>
      <c r="E67" s="37"/>
      <c r="F67" s="37"/>
      <c r="G67" s="37"/>
      <c r="H67" s="12">
        <v>1</v>
      </c>
      <c r="I67" s="12">
        <v>106.83</v>
      </c>
      <c r="J67" s="12"/>
      <c r="K67" s="12"/>
      <c r="L67" t="s">
        <v>385</v>
      </c>
      <c r="M67" s="35">
        <f>150*Tabella1[[#This Row],[Quantità]]</f>
        <v>150</v>
      </c>
    </row>
    <row r="68" spans="1:13" ht="15.75" customHeight="1" x14ac:dyDescent="0.25">
      <c r="A68" s="13" t="s">
        <v>189</v>
      </c>
      <c r="B68" s="14" t="s">
        <v>75</v>
      </c>
      <c r="C68" s="12" t="s">
        <v>76</v>
      </c>
      <c r="D68" s="37"/>
      <c r="E68" s="37"/>
      <c r="F68" s="37"/>
      <c r="G68" s="37"/>
      <c r="H68" s="12">
        <v>1</v>
      </c>
      <c r="I68" s="12">
        <v>77.72</v>
      </c>
      <c r="J68" s="12" t="s">
        <v>24</v>
      </c>
      <c r="K68" s="12">
        <f>(( I68/1000 )*'P001-024-022D'!$F$1 + SUM('P001-024-022D'!$G$4:'P001-024-022D'!$G$30))*H68</f>
        <v>0</v>
      </c>
      <c r="L68" t="s">
        <v>385</v>
      </c>
      <c r="M68" s="35">
        <f>150*Tabella1[[#This Row],[Quantità]]</f>
        <v>150</v>
      </c>
    </row>
    <row r="69" spans="1:13" ht="15.75" customHeight="1" x14ac:dyDescent="0.25">
      <c r="A69" s="13" t="s">
        <v>190</v>
      </c>
      <c r="B69" s="14" t="s">
        <v>78</v>
      </c>
      <c r="C69" s="12" t="s">
        <v>79</v>
      </c>
      <c r="D69" s="37"/>
      <c r="E69" s="37"/>
      <c r="F69" s="37"/>
      <c r="G69" s="37"/>
      <c r="H69" s="12">
        <v>1</v>
      </c>
      <c r="I69" s="12">
        <v>15.09</v>
      </c>
      <c r="J69" s="12" t="s">
        <v>80</v>
      </c>
      <c r="K69" s="12">
        <f>(( I69/1000 )*'P001-024-023D'!$F$1 + SUM('P001-024-023D'!$G$4:'P001-024-023D'!$G$30))*H69</f>
        <v>0</v>
      </c>
      <c r="L69" t="s">
        <v>385</v>
      </c>
      <c r="M69" s="35">
        <f>150*Tabella1[[#This Row],[Quantità]]</f>
        <v>150</v>
      </c>
    </row>
    <row r="70" spans="1:13" ht="15.75" customHeight="1" x14ac:dyDescent="0.25">
      <c r="A70" s="13" t="s">
        <v>191</v>
      </c>
      <c r="B70" s="14" t="s">
        <v>82</v>
      </c>
      <c r="C70" s="12" t="s">
        <v>83</v>
      </c>
      <c r="D70" s="37"/>
      <c r="E70" s="37"/>
      <c r="F70" s="37"/>
      <c r="G70" s="37"/>
      <c r="H70" s="12">
        <v>1</v>
      </c>
      <c r="I70" s="12">
        <v>3.47</v>
      </c>
      <c r="J70" s="12" t="s">
        <v>80</v>
      </c>
      <c r="K70" s="12">
        <f>(( I70/1000 )*'P001-024-024D'!$F$1 + SUM('P001-024-024D'!$G$4:'P001-024-024D'!$G$30))*H70</f>
        <v>0</v>
      </c>
      <c r="L70" t="s">
        <v>385</v>
      </c>
      <c r="M70" s="35">
        <f>150*Tabella1[[#This Row],[Quantità]]</f>
        <v>150</v>
      </c>
    </row>
    <row r="71" spans="1:13" ht="15.75" customHeight="1" x14ac:dyDescent="0.25">
      <c r="A71" s="13" t="s">
        <v>192</v>
      </c>
      <c r="B71" s="14" t="s">
        <v>85</v>
      </c>
      <c r="C71" s="12" t="s">
        <v>86</v>
      </c>
      <c r="D71" s="37"/>
      <c r="E71" s="37"/>
      <c r="F71" s="37"/>
      <c r="G71" s="37"/>
      <c r="H71" s="12">
        <v>1</v>
      </c>
      <c r="I71" s="12">
        <v>0.89</v>
      </c>
      <c r="J71" s="12"/>
      <c r="K71" s="12"/>
      <c r="L71" t="s">
        <v>387</v>
      </c>
      <c r="M71" s="35">
        <f>150*Tabella1[[#This Row],[Quantità]]</f>
        <v>150</v>
      </c>
    </row>
    <row r="72" spans="1:13" x14ac:dyDescent="0.25">
      <c r="A72" s="13" t="s">
        <v>193</v>
      </c>
      <c r="B72" s="15" t="s">
        <v>89</v>
      </c>
      <c r="C72" s="12" t="s">
        <v>90</v>
      </c>
      <c r="D72" s="37"/>
      <c r="E72" s="37"/>
      <c r="F72" s="37"/>
      <c r="G72" s="37"/>
      <c r="H72" s="12">
        <v>1</v>
      </c>
      <c r="I72" s="12">
        <v>0.13</v>
      </c>
      <c r="J72" s="12" t="s">
        <v>31</v>
      </c>
      <c r="K72" s="12"/>
      <c r="L72" t="s">
        <v>387</v>
      </c>
      <c r="M72" s="35">
        <f>150*Tabella1[[#This Row],[Quantità]]</f>
        <v>150</v>
      </c>
    </row>
    <row r="73" spans="1:13" x14ac:dyDescent="0.25">
      <c r="A73" s="13" t="s">
        <v>194</v>
      </c>
      <c r="B73" s="11" t="s">
        <v>92</v>
      </c>
      <c r="C73" s="12" t="s">
        <v>93</v>
      </c>
      <c r="D73" s="37"/>
      <c r="E73" s="37"/>
      <c r="F73" s="37"/>
      <c r="G73" s="37"/>
      <c r="H73" s="12">
        <v>1</v>
      </c>
      <c r="I73" s="12">
        <v>0.53900000000000003</v>
      </c>
      <c r="J73" s="12"/>
      <c r="K73" s="12">
        <f>COMM_VNR5!$D$4*H73</f>
        <v>0</v>
      </c>
      <c r="M73" s="35">
        <f>150*Tabella1[[#This Row],[Quantità]]</f>
        <v>150</v>
      </c>
    </row>
    <row r="74" spans="1:13" ht="15.75" customHeight="1" x14ac:dyDescent="0.25">
      <c r="A74" s="13" t="s">
        <v>195</v>
      </c>
      <c r="B74" s="14" t="s">
        <v>95</v>
      </c>
      <c r="C74" s="12" t="s">
        <v>95</v>
      </c>
      <c r="D74" s="37"/>
      <c r="E74" s="37"/>
      <c r="F74" s="37"/>
      <c r="G74" s="37"/>
      <c r="H74" s="12">
        <v>1</v>
      </c>
      <c r="I74" s="12">
        <v>0.52100000000000002</v>
      </c>
      <c r="J74" s="12" t="s">
        <v>96</v>
      </c>
      <c r="K74" s="12">
        <f>(( I74/1000 )*'CORPO VNR'!$F$1 + SUM('CORPO VNR'!$G$4:'CORPO VNR'!$G$30))*H74</f>
        <v>0</v>
      </c>
      <c r="L74" t="s">
        <v>387</v>
      </c>
      <c r="M74" s="35">
        <f>150*Tabella1[[#This Row],[Quantità]]</f>
        <v>150</v>
      </c>
    </row>
    <row r="75" spans="1:13" x14ac:dyDescent="0.25">
      <c r="A75" s="13" t="s">
        <v>196</v>
      </c>
      <c r="B75" s="11" t="s">
        <v>98</v>
      </c>
      <c r="C75" s="12" t="s">
        <v>99</v>
      </c>
      <c r="D75" s="37"/>
      <c r="E75" s="37"/>
      <c r="F75" s="37"/>
      <c r="G75" s="37"/>
      <c r="H75" s="12">
        <v>1</v>
      </c>
      <c r="I75" s="12">
        <v>1.4E-2</v>
      </c>
      <c r="J75" s="12" t="s">
        <v>100</v>
      </c>
      <c r="K75" s="12">
        <f>COMM_SF001J5!$D$4*H75</f>
        <v>0</v>
      </c>
      <c r="L75" t="s">
        <v>387</v>
      </c>
      <c r="M75" s="35">
        <f>150*Tabella1[[#This Row],[Quantità]]</f>
        <v>150</v>
      </c>
    </row>
    <row r="76" spans="1:13" ht="15.75" customHeight="1" x14ac:dyDescent="0.25">
      <c r="A76" s="13" t="s">
        <v>197</v>
      </c>
      <c r="B76" s="14" t="s">
        <v>102</v>
      </c>
      <c r="C76" s="12" t="s">
        <v>103</v>
      </c>
      <c r="D76" s="37"/>
      <c r="E76" s="37"/>
      <c r="F76" s="37"/>
      <c r="G76" s="37"/>
      <c r="H76" s="12">
        <v>1</v>
      </c>
      <c r="I76" s="12">
        <v>3.0000000000000001E-3</v>
      </c>
      <c r="J76" s="12"/>
      <c r="K76" s="12"/>
      <c r="L76" t="s">
        <v>387</v>
      </c>
      <c r="M76" s="35">
        <f>150*Tabella1[[#This Row],[Quantità]]</f>
        <v>150</v>
      </c>
    </row>
    <row r="77" spans="1:13" x14ac:dyDescent="0.25">
      <c r="A77" s="13" t="s">
        <v>198</v>
      </c>
      <c r="B77" s="11" t="s">
        <v>105</v>
      </c>
      <c r="C77" s="12"/>
      <c r="D77" s="37"/>
      <c r="E77" s="37"/>
      <c r="F77" s="37"/>
      <c r="G77" s="37"/>
      <c r="H77" s="12">
        <v>1</v>
      </c>
      <c r="I77" s="12">
        <v>1</v>
      </c>
      <c r="J77" s="12"/>
      <c r="K77" s="12">
        <f>COMM_OR2081!$D$4*H77</f>
        <v>0</v>
      </c>
      <c r="L77" t="s">
        <v>387</v>
      </c>
      <c r="M77" s="35">
        <f>150*Tabella1[[#This Row],[Quantità]]</f>
        <v>150</v>
      </c>
    </row>
    <row r="78" spans="1:13" x14ac:dyDescent="0.25">
      <c r="A78" s="13" t="s">
        <v>199</v>
      </c>
      <c r="B78" s="11" t="s">
        <v>107</v>
      </c>
      <c r="C78" s="12"/>
      <c r="D78" s="37"/>
      <c r="E78" s="37"/>
      <c r="F78" s="37"/>
      <c r="G78" s="37"/>
      <c r="H78" s="12">
        <v>2</v>
      </c>
      <c r="I78" s="12">
        <v>1</v>
      </c>
      <c r="J78" s="12"/>
      <c r="K78" s="12">
        <f>COMM_OR2087!$D$4*H78</f>
        <v>0</v>
      </c>
      <c r="L78" t="s">
        <v>387</v>
      </c>
      <c r="M78" s="35">
        <f>150*Tabella1[[#This Row],[Quantità]]</f>
        <v>300</v>
      </c>
    </row>
    <row r="79" spans="1:13" ht="15.75" customHeight="1" x14ac:dyDescent="0.25">
      <c r="A79" s="13" t="s">
        <v>200</v>
      </c>
      <c r="B79" s="14" t="s">
        <v>109</v>
      </c>
      <c r="C79" s="12" t="s">
        <v>110</v>
      </c>
      <c r="D79" s="37"/>
      <c r="E79" s="37"/>
      <c r="F79" s="37"/>
      <c r="G79" s="37"/>
      <c r="H79" s="12">
        <v>1</v>
      </c>
      <c r="I79" s="12">
        <v>0.26</v>
      </c>
      <c r="J79" s="12" t="s">
        <v>80</v>
      </c>
      <c r="K79" s="12">
        <f>(( I79/1000 )*'P001-024-032'!$F$1 + SUM('P001-024-032'!$G$4:'P001-024-032'!$G$30))*H79</f>
        <v>0</v>
      </c>
      <c r="L79" t="s">
        <v>385</v>
      </c>
      <c r="M79" s="35">
        <f>150*Tabella1[[#This Row],[Quantità]]</f>
        <v>150</v>
      </c>
    </row>
    <row r="80" spans="1:13" x14ac:dyDescent="0.25">
      <c r="A80" s="13" t="s">
        <v>201</v>
      </c>
      <c r="B80" s="11" t="s">
        <v>112</v>
      </c>
      <c r="C80" s="12"/>
      <c r="D80" s="37"/>
      <c r="E80" s="37"/>
      <c r="F80" s="37"/>
      <c r="G80" s="37"/>
      <c r="H80" s="12">
        <v>1</v>
      </c>
      <c r="I80" s="12">
        <v>1</v>
      </c>
      <c r="J80" s="12"/>
      <c r="K80" s="12">
        <f>COMM_OR108!$D$4*H80</f>
        <v>0</v>
      </c>
      <c r="L80" t="s">
        <v>387</v>
      </c>
      <c r="M80" s="35">
        <f>150*Tabella1[[#This Row],[Quantità]]</f>
        <v>150</v>
      </c>
    </row>
    <row r="81" spans="1:13" ht="15.75" customHeight="1" x14ac:dyDescent="0.25">
      <c r="A81" s="13" t="s">
        <v>202</v>
      </c>
      <c r="B81" s="14" t="s">
        <v>114</v>
      </c>
      <c r="C81" s="12" t="s">
        <v>115</v>
      </c>
      <c r="D81" s="37"/>
      <c r="E81" s="37"/>
      <c r="F81" s="37"/>
      <c r="G81" s="37"/>
      <c r="H81" s="12">
        <v>1</v>
      </c>
      <c r="I81" s="12">
        <v>7.41</v>
      </c>
      <c r="J81" s="12" t="s">
        <v>116</v>
      </c>
      <c r="K81" s="12">
        <f>(( I81/1000 )*'P001-024-037'!$F$1 + SUM('P001-024-037'!$G$4:'P001-024-037'!$G$30))*H81</f>
        <v>0</v>
      </c>
      <c r="L81" t="s">
        <v>385</v>
      </c>
      <c r="M81" s="35">
        <f>150*Tabella1[[#This Row],[Quantità]]</f>
        <v>150</v>
      </c>
    </row>
    <row r="82" spans="1:13" x14ac:dyDescent="0.25">
      <c r="A82" s="13" t="s">
        <v>203</v>
      </c>
      <c r="B82" s="11" t="s">
        <v>118</v>
      </c>
      <c r="C82" s="12"/>
      <c r="D82" s="37"/>
      <c r="E82" s="37"/>
      <c r="F82" s="37"/>
      <c r="G82" s="37"/>
      <c r="H82" s="12">
        <v>1</v>
      </c>
      <c r="I82" s="12">
        <v>1</v>
      </c>
      <c r="J82" s="12"/>
      <c r="K82" s="12">
        <f>COMM_OR2021!$D$4*H82</f>
        <v>0</v>
      </c>
      <c r="L82" t="s">
        <v>387</v>
      </c>
      <c r="M82" s="35">
        <f>150*Tabella1[[#This Row],[Quantità]]</f>
        <v>150</v>
      </c>
    </row>
    <row r="83" spans="1:13" x14ac:dyDescent="0.25">
      <c r="A83" s="13" t="s">
        <v>204</v>
      </c>
      <c r="B83" s="11" t="s">
        <v>120</v>
      </c>
      <c r="C83" s="12"/>
      <c r="D83" s="37"/>
      <c r="E83" s="37"/>
      <c r="F83" s="37"/>
      <c r="G83" s="37"/>
      <c r="H83" s="12">
        <v>1</v>
      </c>
      <c r="I83" s="12">
        <v>1</v>
      </c>
      <c r="J83" s="12"/>
      <c r="K83" s="12">
        <f>COMM_OR2187!$D$4*H83</f>
        <v>0</v>
      </c>
      <c r="L83" t="s">
        <v>387</v>
      </c>
      <c r="M83" s="35">
        <f>150*Tabella1[[#This Row],[Quantità]]</f>
        <v>150</v>
      </c>
    </row>
    <row r="84" spans="1:13" ht="15.75" customHeight="1" x14ac:dyDescent="0.25">
      <c r="A84" s="13" t="s">
        <v>205</v>
      </c>
      <c r="B84" s="14" t="s">
        <v>122</v>
      </c>
      <c r="C84" s="12" t="s">
        <v>123</v>
      </c>
      <c r="D84" s="37"/>
      <c r="E84" s="37"/>
      <c r="F84" s="37"/>
      <c r="G84" s="37"/>
      <c r="H84" s="12">
        <v>1</v>
      </c>
      <c r="I84" s="12">
        <v>0.03</v>
      </c>
      <c r="J84" s="12" t="s">
        <v>124</v>
      </c>
      <c r="K84" s="12">
        <f>(( I84/1000 )*'P001-024-035'!$F$1 + SUM('P001-024-035'!$G$4:'P001-024-035'!$G$30))*H84</f>
        <v>0</v>
      </c>
      <c r="L84" t="s">
        <v>385</v>
      </c>
      <c r="M84" s="35">
        <f>150*Tabella1[[#This Row],[Quantità]]</f>
        <v>150</v>
      </c>
    </row>
    <row r="85" spans="1:13" x14ac:dyDescent="0.25">
      <c r="A85" s="13" t="s">
        <v>206</v>
      </c>
      <c r="B85" s="11" t="s">
        <v>126</v>
      </c>
      <c r="C85" s="12"/>
      <c r="D85" s="37"/>
      <c r="E85" s="37"/>
      <c r="F85" s="37"/>
      <c r="G85" s="37"/>
      <c r="H85" s="12">
        <v>1</v>
      </c>
      <c r="I85" s="12">
        <v>1</v>
      </c>
      <c r="J85" s="12"/>
      <c r="K85" s="12">
        <f>COMM_OR2031!$D$4*H85</f>
        <v>0</v>
      </c>
      <c r="L85" t="s">
        <v>387</v>
      </c>
      <c r="M85" s="35">
        <f>150*Tabella1[[#This Row],[Quantità]]</f>
        <v>150</v>
      </c>
    </row>
    <row r="86" spans="1:13" ht="15.75" customHeight="1" x14ac:dyDescent="0.25">
      <c r="A86" s="13" t="s">
        <v>207</v>
      </c>
      <c r="B86" s="14" t="s">
        <v>128</v>
      </c>
      <c r="C86" s="12" t="s">
        <v>129</v>
      </c>
      <c r="D86" s="37"/>
      <c r="E86" s="37"/>
      <c r="F86" s="37"/>
      <c r="G86" s="37"/>
      <c r="H86" s="12">
        <v>1</v>
      </c>
      <c r="I86" s="12">
        <v>0.04</v>
      </c>
      <c r="J86" s="12" t="s">
        <v>124</v>
      </c>
      <c r="K86" s="12">
        <f>(( I86/1000 )*'P001-024-036'!$F$1 + SUM('P001-024-036'!$G$4:'P001-024-036'!$G$30))*H86</f>
        <v>0</v>
      </c>
      <c r="L86" t="s">
        <v>385</v>
      </c>
      <c r="M86" s="35">
        <f>150*Tabella1[[#This Row],[Quantità]]</f>
        <v>150</v>
      </c>
    </row>
    <row r="87" spans="1:13" x14ac:dyDescent="0.25">
      <c r="A87" s="13" t="s">
        <v>208</v>
      </c>
      <c r="B87" s="15" t="s">
        <v>131</v>
      </c>
      <c r="C87" s="12" t="s">
        <v>132</v>
      </c>
      <c r="D87" s="37"/>
      <c r="E87" s="37"/>
      <c r="F87" s="37"/>
      <c r="G87" s="37"/>
      <c r="H87" s="12">
        <v>2</v>
      </c>
      <c r="I87" s="12">
        <v>0.06</v>
      </c>
      <c r="J87" s="12" t="s">
        <v>133</v>
      </c>
      <c r="K87" s="12"/>
      <c r="L87" t="s">
        <v>387</v>
      </c>
      <c r="M87" s="35">
        <f>150*Tabella1[[#This Row],[Quantità]]</f>
        <v>300</v>
      </c>
    </row>
    <row r="88" spans="1:13" ht="15.75" customHeight="1" x14ac:dyDescent="0.25">
      <c r="A88" s="13" t="s">
        <v>209</v>
      </c>
      <c r="B88" s="14" t="s">
        <v>135</v>
      </c>
      <c r="C88" s="12" t="s">
        <v>136</v>
      </c>
      <c r="D88" s="37"/>
      <c r="E88" s="37"/>
      <c r="F88" s="37"/>
      <c r="G88" s="37"/>
      <c r="H88" s="12">
        <v>1</v>
      </c>
      <c r="I88" s="12">
        <v>165.46</v>
      </c>
      <c r="J88" s="12" t="s">
        <v>116</v>
      </c>
      <c r="K88" s="12">
        <f>(( I88/1000 )*'P001-024-025B'!$F$1 + SUM('P001-024-025B'!$G$4:'P001-024-025B'!$G$30))*H88</f>
        <v>0</v>
      </c>
      <c r="L88" t="s">
        <v>385</v>
      </c>
      <c r="M88" s="35">
        <f>150*Tabella1[[#This Row],[Quantità]]</f>
        <v>150</v>
      </c>
    </row>
    <row r="89" spans="1:13" ht="15.75" customHeight="1" x14ac:dyDescent="0.25">
      <c r="A89" s="13" t="s">
        <v>210</v>
      </c>
      <c r="B89" s="14" t="s">
        <v>138</v>
      </c>
      <c r="C89" s="12" t="s">
        <v>139</v>
      </c>
      <c r="D89" s="37"/>
      <c r="E89" s="37"/>
      <c r="F89" s="37"/>
      <c r="G89" s="37"/>
      <c r="H89" s="12">
        <v>1</v>
      </c>
      <c r="I89" s="12">
        <v>70.959999999999994</v>
      </c>
      <c r="J89" s="12" t="s">
        <v>116</v>
      </c>
      <c r="K89" s="12">
        <f>(( I89/1000 )*'P001-024-026'!$F$1 + SUM('P001-024-026'!$G$4:'P001-024-026'!$G$30))*H89</f>
        <v>0</v>
      </c>
      <c r="L89" t="s">
        <v>385</v>
      </c>
      <c r="M89" s="35">
        <f>150*Tabella1[[#This Row],[Quantità]]</f>
        <v>150</v>
      </c>
    </row>
    <row r="90" spans="1:13" x14ac:dyDescent="0.25">
      <c r="A90" s="13" t="s">
        <v>211</v>
      </c>
      <c r="B90" s="11" t="s">
        <v>163</v>
      </c>
      <c r="C90" s="12"/>
      <c r="D90" s="37"/>
      <c r="E90" s="37"/>
      <c r="F90" s="37"/>
      <c r="G90" s="37"/>
      <c r="H90" s="12">
        <v>1</v>
      </c>
      <c r="I90" s="12">
        <v>1</v>
      </c>
      <c r="J90" s="12"/>
      <c r="K90" s="12">
        <f>COMM_OR3200!$D$4*H90</f>
        <v>0</v>
      </c>
      <c r="L90" t="s">
        <v>387</v>
      </c>
      <c r="M90" s="35">
        <f>150*Tabella1[[#This Row],[Quantità]]</f>
        <v>150</v>
      </c>
    </row>
    <row r="91" spans="1:13" x14ac:dyDescent="0.25">
      <c r="A91" s="13" t="s">
        <v>212</v>
      </c>
      <c r="B91" s="11" t="s">
        <v>165</v>
      </c>
      <c r="C91" s="12"/>
      <c r="D91" s="37"/>
      <c r="E91" s="37"/>
      <c r="F91" s="37"/>
      <c r="G91" s="37"/>
      <c r="H91" s="12">
        <v>1</v>
      </c>
      <c r="I91" s="12">
        <v>1</v>
      </c>
      <c r="J91" s="12"/>
      <c r="K91" s="12">
        <f>COMM_OR2200!$D$4*H91</f>
        <v>0</v>
      </c>
      <c r="L91" t="s">
        <v>387</v>
      </c>
      <c r="M91" s="35">
        <f>150*Tabella1[[#This Row],[Quantità]]</f>
        <v>150</v>
      </c>
    </row>
    <row r="92" spans="1:13" ht="15.75" customHeight="1" x14ac:dyDescent="0.25">
      <c r="A92" s="13" t="s">
        <v>213</v>
      </c>
      <c r="B92" s="14" t="s">
        <v>144</v>
      </c>
      <c r="C92" s="12" t="s">
        <v>145</v>
      </c>
      <c r="D92" s="37"/>
      <c r="E92" s="37"/>
      <c r="F92" s="37"/>
      <c r="G92" s="37"/>
      <c r="H92" s="12">
        <v>3</v>
      </c>
      <c r="I92" s="12">
        <v>67.66</v>
      </c>
      <c r="J92" s="12" t="s">
        <v>146</v>
      </c>
      <c r="K92" s="12">
        <f>(( I92/1000 )*'P001-024-041A'!$F$1 + SUM('P001-024-041A'!$G$4:'P001-024-041A'!$G$30))*H92</f>
        <v>0</v>
      </c>
      <c r="L92" t="s">
        <v>387</v>
      </c>
      <c r="M92" s="35">
        <f>150*Tabella1[[#This Row],[Quantità]]</f>
        <v>450</v>
      </c>
    </row>
    <row r="93" spans="1:13" x14ac:dyDescent="0.25">
      <c r="A93" s="13" t="s">
        <v>214</v>
      </c>
      <c r="B93" s="11" t="s">
        <v>161</v>
      </c>
      <c r="C93" s="12"/>
      <c r="D93" s="37"/>
      <c r="E93" s="37"/>
      <c r="F93" s="37"/>
      <c r="G93" s="37"/>
      <c r="H93" s="12">
        <v>1</v>
      </c>
      <c r="I93" s="12">
        <v>1</v>
      </c>
      <c r="J93" s="12"/>
      <c r="K93" s="12">
        <f>COMM_OR4287!$D$4*H93</f>
        <v>0</v>
      </c>
      <c r="L93" t="s">
        <v>387</v>
      </c>
      <c r="M93" s="35">
        <f>150*Tabella1[[#This Row],[Quantità]]</f>
        <v>150</v>
      </c>
    </row>
    <row r="94" spans="1:13" ht="15.75" customHeight="1" x14ac:dyDescent="0.25">
      <c r="A94" s="13" t="s">
        <v>215</v>
      </c>
      <c r="B94" s="14" t="s">
        <v>141</v>
      </c>
      <c r="C94" s="12" t="s">
        <v>142</v>
      </c>
      <c r="D94" s="37"/>
      <c r="E94" s="37"/>
      <c r="F94" s="37"/>
      <c r="G94" s="37"/>
      <c r="H94" s="12">
        <v>2</v>
      </c>
      <c r="I94" s="12">
        <v>0.56999999999999995</v>
      </c>
      <c r="J94" s="12" t="s">
        <v>24</v>
      </c>
      <c r="K94" s="12">
        <f>(( I94/1000 )*'P001-024-042'!$F$1 + SUM('P001-024-042'!$G$4:'P001-024-042'!$G$30))*H94</f>
        <v>0</v>
      </c>
      <c r="L94" t="s">
        <v>385</v>
      </c>
      <c r="M94" s="35">
        <f>150*Tabella1[[#This Row],[Quantità]]</f>
        <v>300</v>
      </c>
    </row>
    <row r="95" spans="1:13" ht="15.75" customHeight="1" x14ac:dyDescent="0.25">
      <c r="A95" s="13" t="s">
        <v>216</v>
      </c>
      <c r="B95" s="14" t="s">
        <v>152</v>
      </c>
      <c r="C95" s="12" t="s">
        <v>153</v>
      </c>
      <c r="D95" s="37"/>
      <c r="E95" s="37"/>
      <c r="F95" s="37"/>
      <c r="G95" s="37"/>
      <c r="H95" s="12">
        <v>1</v>
      </c>
      <c r="I95" s="12">
        <v>2.39</v>
      </c>
      <c r="J95" s="12" t="s">
        <v>154</v>
      </c>
      <c r="K95" s="12">
        <f>(( I95/1000 )*'P001-024-044'!$F$1 + SUM('P001-024-044'!$G$4:'P001-024-044'!$G$30))*H95</f>
        <v>0</v>
      </c>
      <c r="L95" t="s">
        <v>385</v>
      </c>
      <c r="M95" s="35">
        <f>150*Tabella1[[#This Row],[Quantità]]</f>
        <v>150</v>
      </c>
    </row>
    <row r="96" spans="1:13" ht="15.75" customHeight="1" x14ac:dyDescent="0.25">
      <c r="A96" s="13" t="s">
        <v>217</v>
      </c>
      <c r="B96" s="14" t="s">
        <v>148</v>
      </c>
      <c r="C96" s="12" t="s">
        <v>149</v>
      </c>
      <c r="D96" s="37"/>
      <c r="E96" s="37"/>
      <c r="F96" s="37"/>
      <c r="G96" s="37"/>
      <c r="H96" s="12">
        <v>1</v>
      </c>
      <c r="I96" s="12">
        <v>2.2000000000000002</v>
      </c>
      <c r="J96" s="12" t="s">
        <v>150</v>
      </c>
      <c r="K96" s="12">
        <f>(( I96/1000 )*'P001-024-043'!$F$1 + SUM('P001-024-043'!$G$4:'P001-024-043'!$G$30))*H96</f>
        <v>0</v>
      </c>
      <c r="L96" t="s">
        <v>387</v>
      </c>
      <c r="M96" s="35">
        <f>150*Tabella1[[#This Row],[Quantità]]</f>
        <v>150</v>
      </c>
    </row>
    <row r="97" spans="1:13" ht="15.75" customHeight="1" x14ac:dyDescent="0.25">
      <c r="A97" s="13" t="s">
        <v>218</v>
      </c>
      <c r="B97" s="14" t="s">
        <v>156</v>
      </c>
      <c r="C97" s="12" t="s">
        <v>157</v>
      </c>
      <c r="D97" s="37"/>
      <c r="E97" s="37"/>
      <c r="F97" s="37"/>
      <c r="G97" s="37"/>
      <c r="H97" s="12">
        <v>1</v>
      </c>
      <c r="I97" s="12">
        <v>42.41</v>
      </c>
      <c r="J97" s="12" t="s">
        <v>154</v>
      </c>
      <c r="K97" s="12">
        <f>(( I97/1000 )*'P001-024-045'!$F$1 + SUM('P001-024-045'!$G$4:'P001-024-045'!$G$30))*H97</f>
        <v>0</v>
      </c>
      <c r="L97" t="s">
        <v>385</v>
      </c>
      <c r="M97" s="35">
        <f>150*Tabella1[[#This Row],[Quantità]]</f>
        <v>150</v>
      </c>
    </row>
    <row r="98" spans="1:13" x14ac:dyDescent="0.25">
      <c r="A98" s="13" t="s">
        <v>219</v>
      </c>
      <c r="B98" s="11" t="s">
        <v>159</v>
      </c>
      <c r="C98" s="12"/>
      <c r="D98" s="37"/>
      <c r="E98" s="37"/>
      <c r="F98" s="37"/>
      <c r="G98" s="37"/>
      <c r="H98" s="12">
        <v>1</v>
      </c>
      <c r="I98" s="12">
        <v>1</v>
      </c>
      <c r="J98" s="12"/>
      <c r="K98" s="12">
        <f>COMM_OR3118!$D$4*H98</f>
        <v>0</v>
      </c>
      <c r="M98" s="35">
        <f>150*Tabella1[[#This Row],[Quantità]]</f>
        <v>150</v>
      </c>
    </row>
    <row r="99" spans="1:13" ht="15.75" customHeight="1" x14ac:dyDescent="0.25">
      <c r="A99" s="13" t="s">
        <v>220</v>
      </c>
      <c r="B99" s="14" t="s">
        <v>167</v>
      </c>
      <c r="C99" s="12" t="s">
        <v>168</v>
      </c>
      <c r="D99" s="37"/>
      <c r="E99" s="37"/>
      <c r="F99" s="37"/>
      <c r="G99" s="37"/>
      <c r="H99" s="12">
        <v>1</v>
      </c>
      <c r="I99" s="12">
        <v>2.63</v>
      </c>
      <c r="J99" s="12" t="s">
        <v>116</v>
      </c>
      <c r="K99" s="12">
        <f>(( I99/1000 )*'P001-024-054'!$F$1 + SUM('P001-024-054'!$G$4:'P001-024-054'!$G$30))*H99</f>
        <v>0</v>
      </c>
      <c r="L99" t="s">
        <v>385</v>
      </c>
      <c r="M99" s="35">
        <f>150*Tabella1[[#This Row],[Quantità]]</f>
        <v>150</v>
      </c>
    </row>
    <row r="100" spans="1:13" x14ac:dyDescent="0.25">
      <c r="A100" s="13">
        <v>18</v>
      </c>
      <c r="B100" s="20" t="s">
        <v>221</v>
      </c>
      <c r="C100" s="12" t="s">
        <v>222</v>
      </c>
      <c r="D100" s="37"/>
      <c r="E100" s="37"/>
      <c r="F100" s="37"/>
      <c r="G100" s="37"/>
      <c r="H100" s="12">
        <v>2</v>
      </c>
      <c r="I100" s="12">
        <v>114.11</v>
      </c>
      <c r="J100" s="12"/>
      <c r="K100" s="12"/>
      <c r="L100" t="s">
        <v>387</v>
      </c>
      <c r="M100" s="35">
        <f>150*Tabella1[[#This Row],[Quantità]]</f>
        <v>300</v>
      </c>
    </row>
    <row r="101" spans="1:13" ht="15.75" customHeight="1" x14ac:dyDescent="0.25">
      <c r="A101" s="38" t="s">
        <v>223</v>
      </c>
      <c r="B101" s="39" t="s">
        <v>224</v>
      </c>
      <c r="C101" s="40" t="s">
        <v>225</v>
      </c>
      <c r="D101" s="43"/>
      <c r="E101" s="43"/>
      <c r="F101" s="43"/>
      <c r="G101" s="43"/>
      <c r="H101" s="40">
        <v>1</v>
      </c>
      <c r="I101" s="40">
        <v>91.1</v>
      </c>
      <c r="J101" s="40" t="s">
        <v>133</v>
      </c>
      <c r="K101" s="40">
        <f>(( I101/1000 )*'P001-025-008KOREA'!$F$1 + SUM('P001-025-008KOREA'!$G$4:'P001-025-008KOREA'!$G$30))*H101</f>
        <v>0</v>
      </c>
      <c r="L101" s="41" t="s">
        <v>387</v>
      </c>
      <c r="M101" s="42">
        <f>150*Tabella1[[#This Row],[Quantità]]</f>
        <v>150</v>
      </c>
    </row>
    <row r="102" spans="1:13" x14ac:dyDescent="0.25">
      <c r="A102" s="13" t="s">
        <v>226</v>
      </c>
      <c r="B102" s="20" t="s">
        <v>227</v>
      </c>
      <c r="C102" s="12" t="s">
        <v>228</v>
      </c>
      <c r="D102" s="37"/>
      <c r="E102" s="37"/>
      <c r="F102" s="37"/>
      <c r="G102" s="37"/>
      <c r="H102" s="12">
        <v>1</v>
      </c>
      <c r="I102" s="12">
        <v>10.220000000000001</v>
      </c>
      <c r="J102" s="12" t="s">
        <v>229</v>
      </c>
      <c r="K102" s="12"/>
      <c r="L102" t="s">
        <v>387</v>
      </c>
      <c r="M102" s="35">
        <f>150*Tabella1[[#This Row],[Quantità]]</f>
        <v>150</v>
      </c>
    </row>
    <row r="103" spans="1:13" ht="15.75" customHeight="1" x14ac:dyDescent="0.25">
      <c r="A103" s="38" t="s">
        <v>230</v>
      </c>
      <c r="B103" s="39" t="s">
        <v>231</v>
      </c>
      <c r="C103" s="40" t="s">
        <v>232</v>
      </c>
      <c r="D103" s="43"/>
      <c r="E103" s="43"/>
      <c r="F103" s="43"/>
      <c r="G103" s="43"/>
      <c r="H103" s="40">
        <v>1</v>
      </c>
      <c r="I103" s="40">
        <v>4.1399999999999997</v>
      </c>
      <c r="J103" s="40" t="s">
        <v>233</v>
      </c>
      <c r="K103" s="40">
        <f>(( I103/1000 )*'P001-024-046'!$F$1 + SUM('P001-024-046'!$G$4:'P001-024-046'!$G$30))*H103</f>
        <v>0</v>
      </c>
      <c r="L103" s="41" t="s">
        <v>387</v>
      </c>
      <c r="M103" s="42">
        <f>150*Tabella1[[#This Row],[Quantità]]</f>
        <v>150</v>
      </c>
    </row>
    <row r="104" spans="1:13" ht="15.75" customHeight="1" x14ac:dyDescent="0.25">
      <c r="A104" s="13" t="s">
        <v>234</v>
      </c>
      <c r="B104" s="14" t="s">
        <v>235</v>
      </c>
      <c r="C104" s="12" t="s">
        <v>236</v>
      </c>
      <c r="D104" s="37"/>
      <c r="E104" s="37"/>
      <c r="F104" s="37"/>
      <c r="G104" s="37"/>
      <c r="H104" s="12">
        <v>1</v>
      </c>
      <c r="I104" s="12">
        <v>6.09</v>
      </c>
      <c r="J104" s="12" t="s">
        <v>237</v>
      </c>
      <c r="K104" s="12">
        <f>(( I104/1000 )*'P001-024-047'!$F$1 + SUM('P001-024-047'!$G$4:'P001-024-047'!$G$30))*H104</f>
        <v>0</v>
      </c>
      <c r="L104" t="s">
        <v>387</v>
      </c>
      <c r="M104" s="35">
        <f>150*Tabella1[[#This Row],[Quantità]]</f>
        <v>150</v>
      </c>
    </row>
    <row r="105" spans="1:13" ht="15.75" customHeight="1" x14ac:dyDescent="0.25">
      <c r="A105" s="38" t="s">
        <v>238</v>
      </c>
      <c r="B105" s="39" t="s">
        <v>239</v>
      </c>
      <c r="C105" s="40" t="s">
        <v>240</v>
      </c>
      <c r="D105" s="43"/>
      <c r="E105" s="43"/>
      <c r="F105" s="43"/>
      <c r="G105" s="43"/>
      <c r="H105" s="40">
        <v>1</v>
      </c>
      <c r="I105" s="40">
        <v>12.79</v>
      </c>
      <c r="J105" s="40" t="s">
        <v>7</v>
      </c>
      <c r="K105" s="40">
        <f>(( I105/1000 )*'P001-025-009KOREA'!$F$1 + SUM('P001-025-009KOREA'!$G$4:'P001-025-009KOREA'!$G$30))*H105</f>
        <v>0</v>
      </c>
      <c r="L105" s="41" t="s">
        <v>387</v>
      </c>
      <c r="M105" s="42">
        <f>150*Tabella1[[#This Row],[Quantità]]</f>
        <v>150</v>
      </c>
    </row>
    <row r="106" spans="1:13" x14ac:dyDescent="0.25">
      <c r="A106" s="13">
        <v>19</v>
      </c>
      <c r="B106" s="20" t="s">
        <v>241</v>
      </c>
      <c r="C106" s="12" t="s">
        <v>242</v>
      </c>
      <c r="D106" s="37"/>
      <c r="E106" s="37"/>
      <c r="F106" s="37"/>
      <c r="G106" s="37"/>
      <c r="H106" s="12">
        <v>6</v>
      </c>
      <c r="I106" s="12">
        <v>130.4</v>
      </c>
      <c r="J106" s="12"/>
      <c r="K106" s="12"/>
      <c r="L106" t="s">
        <v>387</v>
      </c>
      <c r="M106" s="35">
        <f>150*Tabella1[[#This Row],[Quantità]]</f>
        <v>900</v>
      </c>
    </row>
    <row r="107" spans="1:13" ht="15.75" customHeight="1" x14ac:dyDescent="0.25">
      <c r="A107" s="13" t="s">
        <v>243</v>
      </c>
      <c r="B107" s="14" t="s">
        <v>244</v>
      </c>
      <c r="C107" s="12" t="s">
        <v>245</v>
      </c>
      <c r="D107" s="37"/>
      <c r="E107" s="37"/>
      <c r="F107" s="37"/>
      <c r="G107" s="37"/>
      <c r="H107" s="12">
        <v>1</v>
      </c>
      <c r="I107" s="12">
        <v>6.22</v>
      </c>
      <c r="J107" s="12" t="s">
        <v>246</v>
      </c>
      <c r="K107" s="12">
        <f>(( I107/1000 )*'RST M8x3'!$F$1 + SUM('RST M8x3'!$G$4:'RST M8x3'!$G$30))*H107</f>
        <v>0</v>
      </c>
      <c r="L107" t="s">
        <v>387</v>
      </c>
      <c r="M107" s="35">
        <f>150*Tabella1[[#This Row],[Quantità]]</f>
        <v>150</v>
      </c>
    </row>
    <row r="108" spans="1:13" x14ac:dyDescent="0.25">
      <c r="A108" s="13" t="s">
        <v>247</v>
      </c>
      <c r="B108" s="15" t="s">
        <v>248</v>
      </c>
      <c r="C108" s="12" t="s">
        <v>249</v>
      </c>
      <c r="D108" s="37"/>
      <c r="E108" s="37"/>
      <c r="F108" s="37"/>
      <c r="G108" s="37"/>
      <c r="H108" s="12">
        <v>1</v>
      </c>
      <c r="I108" s="12">
        <v>10.606</v>
      </c>
      <c r="J108" s="12" t="s">
        <v>100</v>
      </c>
      <c r="K108" s="12"/>
      <c r="L108" t="s">
        <v>387</v>
      </c>
      <c r="M108" s="35">
        <f>150*Tabella1[[#This Row],[Quantità]]</f>
        <v>150</v>
      </c>
    </row>
    <row r="109" spans="1:13" ht="15.75" customHeight="1" x14ac:dyDescent="0.25">
      <c r="A109" s="38" t="s">
        <v>250</v>
      </c>
      <c r="B109" s="39" t="s">
        <v>251</v>
      </c>
      <c r="C109" s="40" t="s">
        <v>252</v>
      </c>
      <c r="D109" s="43"/>
      <c r="E109" s="43"/>
      <c r="F109" s="43"/>
      <c r="G109" s="43"/>
      <c r="H109" s="40">
        <v>1</v>
      </c>
      <c r="I109" s="40">
        <v>99.14</v>
      </c>
      <c r="J109" s="40" t="s">
        <v>133</v>
      </c>
      <c r="K109" s="40">
        <f>(( I109/1000 )*'P001-024-050'!$F$1 + SUM('P001-024-050'!$G$4:'P001-024-050'!$G$30))*H109</f>
        <v>0</v>
      </c>
      <c r="L109" s="41" t="s">
        <v>387</v>
      </c>
      <c r="M109" s="42">
        <f>150*Tabella1[[#This Row],[Quantità]]</f>
        <v>150</v>
      </c>
    </row>
    <row r="110" spans="1:13" ht="15.75" customHeight="1" x14ac:dyDescent="0.25">
      <c r="A110" s="38" t="s">
        <v>253</v>
      </c>
      <c r="B110" s="39" t="s">
        <v>254</v>
      </c>
      <c r="C110" s="40" t="s">
        <v>255</v>
      </c>
      <c r="D110" s="43"/>
      <c r="E110" s="43"/>
      <c r="F110" s="43"/>
      <c r="G110" s="43"/>
      <c r="H110" s="40">
        <v>1</v>
      </c>
      <c r="I110" s="40">
        <v>14.43</v>
      </c>
      <c r="J110" s="40" t="s">
        <v>7</v>
      </c>
      <c r="K110" s="40">
        <f>(( I110/1000 )*'P001-024-051'!$F$1 + SUM('P001-024-051'!$G$4:'P001-024-051'!$G$30))*H110</f>
        <v>0</v>
      </c>
      <c r="L110" s="41" t="s">
        <v>387</v>
      </c>
      <c r="M110" s="42">
        <f>150*Tabella1[[#This Row],[Quantità]]</f>
        <v>150</v>
      </c>
    </row>
    <row r="111" spans="1:13" x14ac:dyDescent="0.25">
      <c r="A111" s="13">
        <v>20</v>
      </c>
      <c r="B111" s="15" t="s">
        <v>256</v>
      </c>
      <c r="C111" s="12" t="s">
        <v>257</v>
      </c>
      <c r="D111" s="37"/>
      <c r="E111" s="37"/>
      <c r="F111" s="37"/>
      <c r="G111" s="37"/>
      <c r="H111" s="12">
        <v>6</v>
      </c>
      <c r="I111" s="12">
        <v>7.9</v>
      </c>
      <c r="J111" s="12" t="s">
        <v>100</v>
      </c>
      <c r="K111" s="12"/>
      <c r="L111" t="s">
        <v>387</v>
      </c>
      <c r="M111" s="35">
        <f>150*Tabella1[[#This Row],[Quantità]]</f>
        <v>900</v>
      </c>
    </row>
    <row r="112" spans="1:13" ht="15.75" customHeight="1" x14ac:dyDescent="0.25">
      <c r="A112" s="13">
        <v>21</v>
      </c>
      <c r="B112" s="14" t="s">
        <v>258</v>
      </c>
      <c r="C112" s="12" t="s">
        <v>259</v>
      </c>
      <c r="D112" s="37"/>
      <c r="E112" s="37"/>
      <c r="F112" s="37"/>
      <c r="G112" s="37"/>
      <c r="H112" s="12">
        <v>2</v>
      </c>
      <c r="I112" s="12">
        <v>7.87</v>
      </c>
      <c r="J112" s="12" t="s">
        <v>260</v>
      </c>
      <c r="K112" s="12">
        <f>(( I112/1000 )*'9TTP40J6PELD'!$F$1 + SUM('9TTP40J6PELD'!$G$4:'9TTP40J6PELD'!$G$30))*H112</f>
        <v>0</v>
      </c>
      <c r="L112" t="s">
        <v>387</v>
      </c>
      <c r="M112" s="35">
        <f>150*Tabella1[[#This Row],[Quantità]]</f>
        <v>300</v>
      </c>
    </row>
    <row r="113" spans="1:13" ht="15.75" customHeight="1" x14ac:dyDescent="0.25">
      <c r="A113" s="13">
        <v>22</v>
      </c>
      <c r="B113" s="14" t="s">
        <v>261</v>
      </c>
      <c r="C113" s="12" t="s">
        <v>262</v>
      </c>
      <c r="D113" s="37"/>
      <c r="E113" s="37"/>
      <c r="F113" s="37"/>
      <c r="G113" s="37"/>
      <c r="H113" s="12">
        <v>12</v>
      </c>
      <c r="I113" s="12">
        <v>2.21</v>
      </c>
      <c r="J113" s="12" t="s">
        <v>260</v>
      </c>
      <c r="K113" s="12">
        <f>(( I113/1000 )*'9TTP25J5PELD'!$F$1 + SUM('9TTP25J5PELD'!$G$4:'9TTP25J5PELD'!$G$30))*H113</f>
        <v>0</v>
      </c>
      <c r="L113" t="s">
        <v>387</v>
      </c>
      <c r="M113" s="35">
        <f>150*Tabella1[[#This Row],[Quantità]]</f>
        <v>1800</v>
      </c>
    </row>
    <row r="114" spans="1:13" x14ac:dyDescent="0.25">
      <c r="A114" s="13">
        <v>23</v>
      </c>
      <c r="B114" s="20" t="s">
        <v>263</v>
      </c>
      <c r="C114" s="12" t="s">
        <v>264</v>
      </c>
      <c r="D114" s="37"/>
      <c r="E114" s="37"/>
      <c r="F114" s="37"/>
      <c r="G114" s="37"/>
      <c r="H114" s="12">
        <v>1</v>
      </c>
      <c r="I114" s="12">
        <v>1432.29</v>
      </c>
      <c r="J114" s="12"/>
      <c r="K114" s="12"/>
      <c r="L114" t="s">
        <v>385</v>
      </c>
      <c r="M114" s="35">
        <f>150*Tabella1[[#This Row],[Quantità]]</f>
        <v>150</v>
      </c>
    </row>
    <row r="115" spans="1:13" ht="15.75" customHeight="1" x14ac:dyDescent="0.25">
      <c r="A115" s="13" t="s">
        <v>265</v>
      </c>
      <c r="B115" s="14" t="s">
        <v>266</v>
      </c>
      <c r="C115" s="12" t="s">
        <v>267</v>
      </c>
      <c r="D115" s="37"/>
      <c r="E115" s="37"/>
      <c r="F115" s="37"/>
      <c r="G115" s="37"/>
      <c r="H115" s="12">
        <v>1</v>
      </c>
      <c r="I115" s="12">
        <v>1343.45</v>
      </c>
      <c r="J115" s="12" t="s">
        <v>116</v>
      </c>
      <c r="K115" s="12">
        <f>(( I115/1000 )*'P001-024-039'!$F$1 + SUM('P001-024-039'!$G$4:'P001-024-039'!$G$30))*H115</f>
        <v>0</v>
      </c>
      <c r="L115" t="s">
        <v>385</v>
      </c>
      <c r="M115" s="35">
        <f>150*Tabella1[[#This Row],[Quantità]]</f>
        <v>150</v>
      </c>
    </row>
    <row r="116" spans="1:13" ht="15.75" customHeight="1" x14ac:dyDescent="0.25">
      <c r="A116" s="13" t="s">
        <v>268</v>
      </c>
      <c r="B116" s="14" t="s">
        <v>269</v>
      </c>
      <c r="C116" s="12" t="s">
        <v>270</v>
      </c>
      <c r="D116" s="37"/>
      <c r="E116" s="37"/>
      <c r="F116" s="37"/>
      <c r="G116" s="37"/>
      <c r="H116" s="12">
        <v>4</v>
      </c>
      <c r="I116" s="12">
        <v>17.59</v>
      </c>
      <c r="J116" s="12" t="s">
        <v>116</v>
      </c>
      <c r="K116" s="12">
        <f>(( I116/1000 )*'P001-025-004'!$F$1 + SUM('P001-025-004'!$G$4:'P001-025-004'!$G$30))*H116</f>
        <v>0</v>
      </c>
      <c r="L116" t="s">
        <v>385</v>
      </c>
      <c r="M116" s="35">
        <f>150*Tabella1[[#This Row],[Quantità]]</f>
        <v>600</v>
      </c>
    </row>
    <row r="117" spans="1:13" x14ac:dyDescent="0.25">
      <c r="A117" s="13" t="s">
        <v>271</v>
      </c>
      <c r="B117" s="15" t="s">
        <v>272</v>
      </c>
      <c r="C117" s="12" t="s">
        <v>257</v>
      </c>
      <c r="D117" s="37"/>
      <c r="E117" s="37"/>
      <c r="F117" s="37"/>
      <c r="G117" s="37"/>
      <c r="H117" s="12">
        <v>2</v>
      </c>
      <c r="I117" s="12">
        <v>7.9</v>
      </c>
      <c r="J117" s="12" t="s">
        <v>100</v>
      </c>
      <c r="K117" s="12"/>
      <c r="L117" t="s">
        <v>387</v>
      </c>
      <c r="M117" s="35">
        <f>150*Tabella1[[#This Row],[Quantità]]</f>
        <v>300</v>
      </c>
    </row>
    <row r="118" spans="1:13" x14ac:dyDescent="0.25">
      <c r="A118" s="13" t="s">
        <v>273</v>
      </c>
      <c r="B118" s="11" t="s">
        <v>274</v>
      </c>
      <c r="C118" s="12" t="s">
        <v>275</v>
      </c>
      <c r="D118" s="37"/>
      <c r="E118" s="37"/>
      <c r="F118" s="37"/>
      <c r="G118" s="37"/>
      <c r="H118" s="12">
        <v>4</v>
      </c>
      <c r="I118" s="12">
        <v>1</v>
      </c>
      <c r="J118" s="12"/>
      <c r="K118" s="12">
        <f>COMM_OR4061!$D$4*H118</f>
        <v>0</v>
      </c>
      <c r="L118" t="s">
        <v>387</v>
      </c>
      <c r="M118" s="35">
        <f>150*Tabella1[[#This Row],[Quantità]]</f>
        <v>600</v>
      </c>
    </row>
    <row r="119" spans="1:13" ht="15.75" customHeight="1" x14ac:dyDescent="0.25">
      <c r="A119" s="13">
        <v>24</v>
      </c>
      <c r="B119" s="14" t="s">
        <v>276</v>
      </c>
      <c r="C119" s="12" t="s">
        <v>277</v>
      </c>
      <c r="D119" s="37"/>
      <c r="E119" s="37"/>
      <c r="F119" s="37"/>
      <c r="G119" s="37"/>
      <c r="H119" s="12">
        <v>1</v>
      </c>
      <c r="I119" s="12"/>
      <c r="J119" s="12" t="s">
        <v>80</v>
      </c>
      <c r="K119" s="12">
        <f>(( I119/1000 )*'P001-025-007'!$F$1 + SUM('P001-025-007'!$G$4:'P001-025-007'!$G$30))*H119</f>
        <v>0</v>
      </c>
      <c r="L119" t="s">
        <v>385</v>
      </c>
      <c r="M119" s="35">
        <f>150*Tabella1[[#This Row],[Quantità]]</f>
        <v>150</v>
      </c>
    </row>
    <row r="120" spans="1:13" ht="15.75" customHeight="1" x14ac:dyDescent="0.25">
      <c r="A120" s="13">
        <v>25</v>
      </c>
      <c r="B120" s="14" t="s">
        <v>278</v>
      </c>
      <c r="C120" s="12" t="s">
        <v>279</v>
      </c>
      <c r="D120" s="37"/>
      <c r="E120" s="37"/>
      <c r="F120" s="37"/>
      <c r="G120" s="37"/>
      <c r="H120" s="12">
        <v>1</v>
      </c>
      <c r="I120" s="12"/>
      <c r="J120" s="12" t="s">
        <v>280</v>
      </c>
      <c r="K120" s="12">
        <f>(( I120/1000 )*PM012216E!$F$1 + SUM(PM012216E!$G$4:'PM012216E'!$G$30))*H120</f>
        <v>0</v>
      </c>
      <c r="L120" t="s">
        <v>387</v>
      </c>
      <c r="M120" s="35">
        <f>150*Tabella1[[#This Row],[Quantità]]</f>
        <v>150</v>
      </c>
    </row>
    <row r="121" spans="1:13" x14ac:dyDescent="0.25">
      <c r="A121" s="44"/>
      <c r="B121" s="37"/>
      <c r="C121" s="37"/>
      <c r="D121" s="37"/>
      <c r="E121" s="37"/>
      <c r="F121" s="37"/>
      <c r="G121" s="37"/>
      <c r="H121" s="37"/>
      <c r="I121" s="37"/>
      <c r="J121" s="37" t="s">
        <v>372</v>
      </c>
      <c r="K121" s="37">
        <f>SUBTOTAL(109,Tabella1[Costo'[€']])</f>
        <v>10291.51</v>
      </c>
      <c r="L121" s="45"/>
      <c r="M121" s="37">
        <f>SUBTOTAL(109,Tabella1[Quantità per 100 pompe])</f>
        <v>27900</v>
      </c>
    </row>
  </sheetData>
  <phoneticPr fontId="24" type="noConversion"/>
  <hyperlinks>
    <hyperlink ref="B2" location="'P001-025-001B'!A1" display="P001-025-001B" xr:uid="{00000000-0004-0000-0000-000000000000}"/>
    <hyperlink ref="B3" location="'P001-025-002'!A1" display="P001-025-002" xr:uid="{00000000-0004-0000-0000-000001000000}"/>
    <hyperlink ref="B4" location="'P001-024-019B'!A1" display="P001-024-019B" xr:uid="{00000000-0004-0000-0000-000002000000}"/>
    <hyperlink ref="B5" location="'P001-025-003'!A1" display="P001-025-003" xr:uid="{00000000-0004-0000-0000-000003000000}"/>
    <hyperlink ref="B6" location="'P001-024-008B'!A1" display="P001-024-008B" xr:uid="{00000000-0004-0000-0000-000004000000}"/>
    <hyperlink ref="B7" location="'COMM_SF030'!A1" display="SF030" xr:uid="{00000000-0004-0000-0000-000005000000}"/>
    <hyperlink ref="B9" location="'P001-024-031'!A1" display="  P001-024-031" xr:uid="{00000000-0004-0000-0000-000006000000}"/>
    <hyperlink ref="B10" location="'COMM_spina_1_x_6'!A1" display="Spina 1 x 6" xr:uid="{00000000-0004-0000-0000-000007000000}"/>
    <hyperlink ref="B11" location="'COMM_SF1-8'!A1" display="  SF1-8" xr:uid="{00000000-0004-0000-0000-000008000000}"/>
    <hyperlink ref="B12" location="'COMM_OR2021'!A1" display="OR2021" xr:uid="{00000000-0004-0000-0000-000009000000}"/>
    <hyperlink ref="B14" location="'P001-024-052'!A1" display="  P001-024-052" xr:uid="{00000000-0004-0000-0000-00000A000000}"/>
    <hyperlink ref="B15" location="'COMM_OR2043'!A1" display="OR2043" xr:uid="{00000000-0004-0000-0000-00000B000000}"/>
    <hyperlink ref="B17" location="'COMM_or_3100'!A1" display="OR 3100" xr:uid="{00000000-0004-0000-0000-00000C000000}"/>
    <hyperlink ref="B18" location="'P001-024-028'!A1" display="  P001-024-028" xr:uid="{00000000-0004-0000-0000-00000D000000}"/>
    <hyperlink ref="B19" location="'P001-024-012A'!A1" display="  P001-024-012A" xr:uid="{00000000-0004-0000-0000-00000E000000}"/>
    <hyperlink ref="B20" location="'P001-024-010A'!A1" display="  P001-024-010A" xr:uid="{00000000-0004-0000-0000-00000F000000}"/>
    <hyperlink ref="B21" location="'COMM_941625X19X3J5PO00'!A1" display="941625X19X3J5PO00" xr:uid="{00000000-0004-0000-0000-000010000000}"/>
    <hyperlink ref="B22" location="'P001-024-011'!A1" display="  P001-024-011" xr:uid="{00000000-0004-0000-0000-000011000000}"/>
    <hyperlink ref="B23" location="'COMM_or_2106'!A1" display="OR 2106" xr:uid="{00000000-0004-0000-0000-000012000000}"/>
    <hyperlink ref="B24" location="'P001-024-016'!A1" display="P001-024-016" xr:uid="{00000000-0004-0000-0000-000013000000}"/>
    <hyperlink ref="B26" location="'P001-024-021B'!A1" display="  P001-024-021B" xr:uid="{00000000-0004-0000-0000-000014000000}"/>
    <hyperlink ref="B28" location="'P001-024-022D'!A1" display="    P001-024-022D" xr:uid="{00000000-0004-0000-0000-000015000000}"/>
    <hyperlink ref="B29" location="'P001-024-023D'!A1" display="    P001-024-023D" xr:uid="{00000000-0004-0000-0000-000016000000}"/>
    <hyperlink ref="B30" location="'P001-024-024D'!A1" display="    P001-024-024D" xr:uid="{00000000-0004-0000-0000-000017000000}"/>
    <hyperlink ref="B31" location="'C0975-074-0875S _x000a_D20'!A1" display="    C0975-074-0875S _x000a_D20" xr:uid="{00000000-0004-0000-0000-000018000000}"/>
    <hyperlink ref="B32" location="'COMM_SF1-8'!A1" display="    SF1-8" xr:uid="{00000000-0004-0000-0000-000019000000}"/>
    <hyperlink ref="B33" location="'COMM_VNR5'!A1" display="VNR5" xr:uid="{00000000-0004-0000-0000-00001A000000}"/>
    <hyperlink ref="B34" location="'CORPO VNR'!A1" display="      CORPO VNR" xr:uid="{00000000-0004-0000-0000-00001B000000}"/>
    <hyperlink ref="B35" location="'COMM_SF001J5'!A1" display="SF001J5" xr:uid="{00000000-0004-0000-0000-00001C000000}"/>
    <hyperlink ref="B36" location="'ISO 2338 - 1 m6 x _x000a_4 - St'!A1" display="      ISO 2338 - 1 m6 x _x000a_4 - St" xr:uid="{00000000-0004-0000-0000-00001D000000}"/>
    <hyperlink ref="B37" location="'COMM_OR2081'!A1" display="OR2081" xr:uid="{00000000-0004-0000-0000-00001E000000}"/>
    <hyperlink ref="B38" location="'COMM_OR2087'!A1" display="OR2087" xr:uid="{00000000-0004-0000-0000-00001F000000}"/>
    <hyperlink ref="B39" location="'P001-024-032'!A1" display="    P001-024-032" xr:uid="{00000000-0004-0000-0000-000020000000}"/>
    <hyperlink ref="B40" location="'COMM_OR108'!A1" display="OR108" xr:uid="{00000000-0004-0000-0000-000021000000}"/>
    <hyperlink ref="B41" location="'P001-024-037'!A1" display="    P001-024-037" xr:uid="{00000000-0004-0000-0000-000022000000}"/>
    <hyperlink ref="B42" location="'COMM_OR2021'!A1" display="OR2021" xr:uid="{00000000-0004-0000-0000-000023000000}"/>
    <hyperlink ref="B43" location="'COMM_OR2187'!A1" display="OR2187" xr:uid="{00000000-0004-0000-0000-000024000000}"/>
    <hyperlink ref="B44" location="'P001-024-035'!A1" display="    P001-024-035" xr:uid="{00000000-0004-0000-0000-000025000000}"/>
    <hyperlink ref="B45" location="'COMM_OR2031'!A1" display="OR2031" xr:uid="{00000000-0004-0000-0000-000026000000}"/>
    <hyperlink ref="B46" location="'P001-024-036'!A1" display="    P001-024-036" xr:uid="{00000000-0004-0000-0000-000027000000}"/>
    <hyperlink ref="B47" location="'COMM_SF3-32'!A1" display="    SF3-32" xr:uid="{00000000-0004-0000-0000-000028000000}"/>
    <hyperlink ref="B48" location="'P001-024-025B'!A1" display="  P001-024-025B" xr:uid="{00000000-0004-0000-0000-000029000000}"/>
    <hyperlink ref="B49" location="'P001-024-026'!A1" display="  P001-024-026" xr:uid="{00000000-0004-0000-0000-00002A000000}"/>
    <hyperlink ref="B50" location="'P001-024-042'!A1" display="  P001-024-042" xr:uid="{00000000-0004-0000-0000-00002B000000}"/>
    <hyperlink ref="B51" location="'P001-024-041A'!A1" display="  P001-024-041A" xr:uid="{00000000-0004-0000-0000-00002C000000}"/>
    <hyperlink ref="B52" location="'P001-024-043'!A1" display="  P001-024-043" xr:uid="{00000000-0004-0000-0000-00002D000000}"/>
    <hyperlink ref="B53" location="'P001-024-044'!A1" display="  P001-024-044" xr:uid="{00000000-0004-0000-0000-00002E000000}"/>
    <hyperlink ref="B54" location="'P001-024-045'!A1" display="  P001-024-045" xr:uid="{00000000-0004-0000-0000-00002F000000}"/>
    <hyperlink ref="B55" location="'COMM_OR3118'!A1" display="OR3118" xr:uid="{00000000-0004-0000-0000-000030000000}"/>
    <hyperlink ref="B56" location="'COMM_OR4287'!A1" display="OR4287" xr:uid="{00000000-0004-0000-0000-000031000000}"/>
    <hyperlink ref="B57" location="'COMM_OR3200'!A1" display="OR3200" xr:uid="{00000000-0004-0000-0000-000032000000}"/>
    <hyperlink ref="B58" location="'COMM_OR2200'!A1" display="OR2200" xr:uid="{00000000-0004-0000-0000-000033000000}"/>
    <hyperlink ref="B59" location="'P001-024-054'!A1" display="  P001-024-054" xr:uid="{00000000-0004-0000-0000-000034000000}"/>
    <hyperlink ref="B60" location="'P001-024-002B'!A1" display="P001-024-002B" xr:uid="{00000000-0004-0000-0000-000035000000}"/>
    <hyperlink ref="B61" location="'P001-024-004'!A1" display="P001-024-004" xr:uid="{00000000-0004-0000-0000-000036000000}"/>
    <hyperlink ref="B62" location="'P001-024-005'!A1" display="P001-024-005" xr:uid="{00000000-0004-0000-0000-000037000000}"/>
    <hyperlink ref="B63" location="375923KE00!A1" display="375923KE00" xr:uid="{00000000-0004-0000-0000-000038000000}"/>
    <hyperlink ref="B64" location="'P001-024-038'!A1" display="P001-024-038" xr:uid="{00000000-0004-0000-0000-000039000000}"/>
    <hyperlink ref="B66" location="'P001-024-015C'!A1" display="  P001-024-015C" xr:uid="{00000000-0004-0000-0000-00003A000000}"/>
    <hyperlink ref="B68" location="'P001-024-022D'!A1" display="    P001-024-022D" xr:uid="{00000000-0004-0000-0000-00003B000000}"/>
    <hyperlink ref="B69" location="'P001-024-023D'!A1" display="    P001-024-023D" xr:uid="{00000000-0004-0000-0000-00003C000000}"/>
    <hyperlink ref="B70" location="'P001-024-024D'!A1" display="    P001-024-024D" xr:uid="{00000000-0004-0000-0000-00003D000000}"/>
    <hyperlink ref="B71" location="'C0975-074-0875S _x000a_D20'!A1" display="    C0975-074-0875S _x000a_D20" xr:uid="{00000000-0004-0000-0000-00003E000000}"/>
    <hyperlink ref="B72" location="'COMM_SF1-8'!A1" display="    SF1-8" xr:uid="{00000000-0004-0000-0000-00003F000000}"/>
    <hyperlink ref="B73" location="'COMM_VNR5'!A1" display="VNR5" xr:uid="{00000000-0004-0000-0000-000040000000}"/>
    <hyperlink ref="B74" location="'CORPO VNR'!A1" display="      CORPO VNR" xr:uid="{00000000-0004-0000-0000-000041000000}"/>
    <hyperlink ref="B75" location="'COMM_SF001J5'!A1" display="SF001J5" xr:uid="{00000000-0004-0000-0000-000042000000}"/>
    <hyperlink ref="B76" location="'ISO 2338 - 1 m6 x _x000a_4 - St'!A1" display="      ISO 2338 - 1 m6 x _x000a_4 - St" xr:uid="{00000000-0004-0000-0000-000043000000}"/>
    <hyperlink ref="B77" location="'COMM_OR2081'!A1" display="OR2081" xr:uid="{00000000-0004-0000-0000-000044000000}"/>
    <hyperlink ref="B78" location="'COMM_OR2087'!A1" display="OR2087" xr:uid="{00000000-0004-0000-0000-000045000000}"/>
    <hyperlink ref="B79" location="'P001-024-032'!A1" display="    P001-024-032" xr:uid="{00000000-0004-0000-0000-000046000000}"/>
    <hyperlink ref="B80" location="'COMM_OR108'!A1" display="OR108" xr:uid="{00000000-0004-0000-0000-000047000000}"/>
    <hyperlink ref="B81" location="'P001-024-037'!A1" display="    P001-024-037" xr:uid="{00000000-0004-0000-0000-000048000000}"/>
    <hyperlink ref="B82" location="'COMM_OR2021'!A1" display="OR2021" xr:uid="{00000000-0004-0000-0000-000049000000}"/>
    <hyperlink ref="B83" location="'COMM_OR2187'!A1" display="OR2187" xr:uid="{00000000-0004-0000-0000-00004A000000}"/>
    <hyperlink ref="B84" location="'P001-024-035'!A1" display="    P001-024-035" xr:uid="{00000000-0004-0000-0000-00004B000000}"/>
    <hyperlink ref="B85" location="'COMM_OR2031'!A1" display="OR2031" xr:uid="{00000000-0004-0000-0000-00004C000000}"/>
    <hyperlink ref="B86" location="'P001-024-036'!A1" display="    P001-024-036" xr:uid="{00000000-0004-0000-0000-00004D000000}"/>
    <hyperlink ref="B87" location="'COMM_SF3-32'!A1" display="    SF3-32" xr:uid="{00000000-0004-0000-0000-00004E000000}"/>
    <hyperlink ref="B88" location="'P001-024-025B'!A1" display="  P001-024-025B" xr:uid="{00000000-0004-0000-0000-00004F000000}"/>
    <hyperlink ref="B89" location="'P001-024-026'!A1" display="  P001-024-026" xr:uid="{00000000-0004-0000-0000-000050000000}"/>
    <hyperlink ref="B90" location="'COMM_OR3200'!A1" display="OR3200" xr:uid="{00000000-0004-0000-0000-000051000000}"/>
    <hyperlink ref="B91" location="'COMM_OR2200'!A1" display="OR2200" xr:uid="{00000000-0004-0000-0000-000052000000}"/>
    <hyperlink ref="B92" location="'P001-024-041A'!A1" display="  P001-024-041A" xr:uid="{00000000-0004-0000-0000-000053000000}"/>
    <hyperlink ref="B93" location="'COMM_OR4287'!A1" display="OR4287" xr:uid="{00000000-0004-0000-0000-000054000000}"/>
    <hyperlink ref="B94" location="'P001-024-042'!A1" display="  P001-024-042" xr:uid="{00000000-0004-0000-0000-000055000000}"/>
    <hyperlink ref="B95" location="'P001-024-044'!A1" display="  P001-024-044" xr:uid="{00000000-0004-0000-0000-000056000000}"/>
    <hyperlink ref="B96" location="'P001-024-043'!A1" display="  P001-024-043" xr:uid="{00000000-0004-0000-0000-000057000000}"/>
    <hyperlink ref="B97" location="'P001-024-045'!A1" display="  P001-024-045" xr:uid="{00000000-0004-0000-0000-000058000000}"/>
    <hyperlink ref="B98" location="'COMM_OR3118'!A1" display="OR3118" xr:uid="{00000000-0004-0000-0000-000059000000}"/>
    <hyperlink ref="B99" location="'P001-024-054'!A1" display="  P001-024-054" xr:uid="{00000000-0004-0000-0000-00005A000000}"/>
    <hyperlink ref="B101" location="'P001-025-008KOREA'!A1" display="  P001-025-008KOREA" xr:uid="{00000000-0004-0000-0000-00005B000000}"/>
    <hyperlink ref="B103" location="'P001-024-046'!A1" display="    P001-024-046" xr:uid="{00000000-0004-0000-0000-00005C000000}"/>
    <hyperlink ref="B104" location="'P001-024-047'!A1" display="    P001-024-047" xr:uid="{00000000-0004-0000-0000-00005D000000}"/>
    <hyperlink ref="B105" location="'P001-025-009KOREA'!A1" display="  P001-025-009KOREA" xr:uid="{00000000-0004-0000-0000-00005E000000}"/>
    <hyperlink ref="B107" location="'RST M8x3'!A1" display="  RST M8x3" xr:uid="{00000000-0004-0000-0000-00005F000000}"/>
    <hyperlink ref="B108" location="'COMM_Dado_cieco_M8_DIN__1587'!A1" display="  Dado cieco M8 DIN _x000a_1587 " xr:uid="{00000000-0004-0000-0000-000060000000}"/>
    <hyperlink ref="B109" location="'P001-024-050'!A1" display="  P001-024-050" xr:uid="{00000000-0004-0000-0000-000061000000}"/>
    <hyperlink ref="B110" location="'P001-024-051'!A1" display="  P001-024-051" xr:uid="{00000000-0004-0000-0000-000062000000}"/>
    <hyperlink ref="B111" location="'COMM_DADO_FLANGIATO__M8'!A1" display="DADO FLANGIATO _x000a_M8" xr:uid="{00000000-0004-0000-0000-000063000000}"/>
    <hyperlink ref="B112" location="9TTP40J6PELD!A1" display="9TTP40J6PELD" xr:uid="{00000000-0004-0000-0000-000064000000}"/>
    <hyperlink ref="B113" location="9TTP25J5PELD!A1" display="9TTP25J5PELD" xr:uid="{00000000-0004-0000-0000-000065000000}"/>
    <hyperlink ref="B115" location="'P001-024-039'!A1" display="  P001-024-039" xr:uid="{00000000-0004-0000-0000-000066000000}"/>
    <hyperlink ref="B116" location="'P001-025-004'!A1" display="  P001-025-004" xr:uid="{00000000-0004-0000-0000-000067000000}"/>
    <hyperlink ref="B117" location="'COMM_DADO_FLANGIATO__M8'!A1" display="  DADO FLANGIATO _x000a_M8" xr:uid="{00000000-0004-0000-0000-000068000000}"/>
    <hyperlink ref="B118" location="'COMM_OR4061'!A1" display="OR4061" xr:uid="{00000000-0004-0000-0000-000069000000}"/>
    <hyperlink ref="B119" location="'P001-025-007'!A1" display="P001-025-007" xr:uid="{00000000-0004-0000-0000-00006A000000}"/>
    <hyperlink ref="B120" location="PM012216E!A1" display="PM012216E" xr:uid="{00000000-0004-0000-0000-00006B000000}"/>
  </hyperlinks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0" ht="28.5" customHeight="1" x14ac:dyDescent="0.4">
      <c r="A1" s="16" t="s">
        <v>5</v>
      </c>
      <c r="B1" s="17" t="s">
        <v>5</v>
      </c>
      <c r="C1" s="17" t="s">
        <v>6</v>
      </c>
      <c r="D1" s="36" t="s">
        <v>388</v>
      </c>
      <c r="E1" s="22" t="s">
        <v>281</v>
      </c>
      <c r="F1" s="25">
        <v>1000</v>
      </c>
      <c r="H1" s="26" t="s">
        <v>282</v>
      </c>
    </row>
    <row r="2" spans="1:10" x14ac:dyDescent="0.25">
      <c r="A2" s="18" t="s">
        <v>283</v>
      </c>
      <c r="B2" s="18"/>
      <c r="C2" s="18"/>
      <c r="D2" s="18"/>
      <c r="E2" s="23"/>
      <c r="F2" s="23"/>
      <c r="G2" s="18"/>
      <c r="H2" s="18"/>
      <c r="I2" s="18"/>
      <c r="J2" s="18"/>
    </row>
    <row r="3" spans="1:10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10" x14ac:dyDescent="0.25">
      <c r="A4" s="2">
        <v>10</v>
      </c>
      <c r="B4" t="s">
        <v>293</v>
      </c>
      <c r="C4" t="s">
        <v>294</v>
      </c>
      <c r="D4" t="s">
        <v>295</v>
      </c>
      <c r="E4">
        <v>51</v>
      </c>
      <c r="F4" t="s">
        <v>296</v>
      </c>
      <c r="G4" s="4">
        <v>5</v>
      </c>
      <c r="H4" s="3"/>
    </row>
    <row r="5" spans="1:10" x14ac:dyDescent="0.25">
      <c r="A5" s="2">
        <v>20</v>
      </c>
      <c r="B5" t="s">
        <v>297</v>
      </c>
      <c r="C5" t="s">
        <v>294</v>
      </c>
      <c r="D5" t="s">
        <v>298</v>
      </c>
      <c r="E5">
        <v>51</v>
      </c>
      <c r="F5" t="s">
        <v>296</v>
      </c>
      <c r="G5" s="4">
        <v>10</v>
      </c>
      <c r="H5" s="3"/>
    </row>
    <row r="6" spans="1:10" x14ac:dyDescent="0.25">
      <c r="A6" s="2">
        <v>30</v>
      </c>
      <c r="B6" t="s">
        <v>299</v>
      </c>
      <c r="C6" t="s">
        <v>300</v>
      </c>
      <c r="D6" t="s">
        <v>298</v>
      </c>
      <c r="E6">
        <v>24</v>
      </c>
      <c r="F6" t="s">
        <v>301</v>
      </c>
      <c r="G6" s="4">
        <v>15</v>
      </c>
      <c r="H6" s="3"/>
    </row>
    <row r="7" spans="1:10" x14ac:dyDescent="0.25">
      <c r="A7" s="2"/>
      <c r="G7" s="4"/>
      <c r="H7" s="3"/>
    </row>
    <row r="8" spans="1:10" x14ac:dyDescent="0.25">
      <c r="A8" s="2"/>
      <c r="G8" s="4"/>
      <c r="H8" s="3"/>
    </row>
    <row r="9" spans="1:10" x14ac:dyDescent="0.25">
      <c r="A9" s="2"/>
      <c r="G9" s="4"/>
      <c r="H9" s="3"/>
    </row>
    <row r="10" spans="1:10" x14ac:dyDescent="0.25">
      <c r="A10" s="2"/>
      <c r="G10" s="4"/>
      <c r="H10" s="3"/>
    </row>
    <row r="11" spans="1:10" x14ac:dyDescent="0.25">
      <c r="A11" s="2"/>
      <c r="G11" s="4"/>
      <c r="H11" s="3"/>
    </row>
    <row r="12" spans="1:10" x14ac:dyDescent="0.25">
      <c r="A12" s="2"/>
      <c r="G12" s="4"/>
      <c r="H12" s="3"/>
    </row>
    <row r="13" spans="1:10" x14ac:dyDescent="0.25">
      <c r="A13" s="2"/>
      <c r="G13" s="4"/>
      <c r="H13" s="3"/>
    </row>
    <row r="14" spans="1:10" x14ac:dyDescent="0.25">
      <c r="A14" s="2"/>
      <c r="G14" s="4"/>
      <c r="H14" s="3"/>
    </row>
    <row r="15" spans="1:10" x14ac:dyDescent="0.25">
      <c r="A15" s="2"/>
      <c r="G15" s="4"/>
      <c r="H15" s="3"/>
    </row>
    <row r="16" spans="1:10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100-000000000000}">
      <formula1>"Interna,Esterna"</formula1>
    </dataValidation>
    <dataValidation type="list" allowBlank="1" showInputMessage="1" showErrorMessage="1" sqref="F4:F30" xr:uid="{00000000-0002-0000-0100-000001000000}">
      <formula1>"Esterna,100 (HERMLE C42U),101 (Sigma Compact 5)"</formula1>
    </dataValidation>
  </dataValidations>
  <hyperlinks>
    <hyperlink ref="H1" location="'DB DQS100'!A1" display="⇦ Torna alla DB" xr:uid="{00000000-0004-0000-0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1" ht="24.95" customHeight="1" x14ac:dyDescent="0.25">
      <c r="A1" s="16" t="s">
        <v>0</v>
      </c>
      <c r="B1" s="17" t="s">
        <v>8</v>
      </c>
      <c r="C1" s="17" t="s">
        <v>9</v>
      </c>
      <c r="E1" s="22" t="s">
        <v>281</v>
      </c>
      <c r="F1" s="25"/>
      <c r="G1" s="27"/>
      <c r="H1" s="28" t="s">
        <v>282</v>
      </c>
    </row>
    <row r="2" spans="1:11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11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11" x14ac:dyDescent="0.25">
      <c r="A4" s="2"/>
      <c r="G4" s="4"/>
      <c r="H4" s="3"/>
    </row>
    <row r="5" spans="1:11" x14ac:dyDescent="0.25">
      <c r="A5" s="2"/>
      <c r="G5" s="4"/>
      <c r="H5" s="3"/>
    </row>
    <row r="6" spans="1:11" x14ac:dyDescent="0.25">
      <c r="A6" s="2"/>
      <c r="G6" s="4"/>
      <c r="H6" s="3"/>
    </row>
    <row r="7" spans="1:11" x14ac:dyDescent="0.25">
      <c r="A7" s="2"/>
      <c r="G7" s="4"/>
      <c r="H7" s="3"/>
    </row>
    <row r="8" spans="1:11" x14ac:dyDescent="0.25">
      <c r="A8" s="2"/>
      <c r="G8" s="4"/>
      <c r="H8" s="3"/>
    </row>
    <row r="9" spans="1:11" x14ac:dyDescent="0.25">
      <c r="A9" s="2"/>
      <c r="G9" s="4"/>
      <c r="H9" s="3"/>
      <c r="K9" t="s">
        <v>379</v>
      </c>
    </row>
    <row r="10" spans="1:11" x14ac:dyDescent="0.25">
      <c r="A10" s="2"/>
      <c r="G10" s="4"/>
      <c r="H10" s="3"/>
      <c r="K10" t="s">
        <v>380</v>
      </c>
    </row>
    <row r="11" spans="1:11" x14ac:dyDescent="0.25">
      <c r="A11" s="2"/>
      <c r="G11" s="4"/>
      <c r="H11" s="3"/>
    </row>
    <row r="12" spans="1:11" x14ac:dyDescent="0.25">
      <c r="A12" s="2"/>
      <c r="G12" s="4"/>
      <c r="H12" s="3"/>
    </row>
    <row r="13" spans="1:11" x14ac:dyDescent="0.25">
      <c r="A13" s="2"/>
      <c r="G13" s="4"/>
      <c r="H13" s="3"/>
    </row>
    <row r="14" spans="1:11" x14ac:dyDescent="0.25">
      <c r="A14" s="2"/>
      <c r="G14" s="4"/>
      <c r="H14" s="3"/>
    </row>
    <row r="15" spans="1:11" x14ac:dyDescent="0.25">
      <c r="A15" s="2"/>
      <c r="G15" s="4"/>
      <c r="H15" s="3"/>
    </row>
    <row r="16" spans="1:11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200-000000000000}">
      <formula1>"Interna,Esterna"</formula1>
    </dataValidation>
    <dataValidation type="list" allowBlank="1" showInputMessage="1" showErrorMessage="1" sqref="F4:F30" xr:uid="{00000000-0002-0000-0200-000001000000}">
      <formula1>"Esterna,100 (HERMLE C42U),101 (Sigma Compact 5)"</formula1>
    </dataValidation>
  </dataValidations>
  <hyperlinks>
    <hyperlink ref="H1" location="'DB DQS100'!A1" display="⇦ Torna alla DB" xr:uid="{00000000-0004-0000-0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1" ht="24.95" customHeight="1" x14ac:dyDescent="0.25">
      <c r="A1" s="16" t="s">
        <v>0</v>
      </c>
      <c r="B1" s="17" t="s">
        <v>11</v>
      </c>
      <c r="C1" s="17" t="s">
        <v>12</v>
      </c>
      <c r="E1" s="22" t="s">
        <v>281</v>
      </c>
      <c r="F1" s="25"/>
      <c r="G1" s="29"/>
      <c r="H1" s="28" t="s">
        <v>282</v>
      </c>
    </row>
    <row r="2" spans="1:11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11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11" x14ac:dyDescent="0.25">
      <c r="A4" s="2">
        <v>10</v>
      </c>
      <c r="B4" t="s">
        <v>374</v>
      </c>
      <c r="C4" t="s">
        <v>294</v>
      </c>
      <c r="D4" t="s">
        <v>375</v>
      </c>
      <c r="E4">
        <v>315456153</v>
      </c>
      <c r="F4" t="s">
        <v>294</v>
      </c>
      <c r="G4" s="4">
        <v>100</v>
      </c>
      <c r="H4" s="3">
        <v>5</v>
      </c>
    </row>
    <row r="5" spans="1:11" x14ac:dyDescent="0.25">
      <c r="A5" s="2">
        <v>20</v>
      </c>
      <c r="B5" t="s">
        <v>376</v>
      </c>
      <c r="C5" t="s">
        <v>300</v>
      </c>
      <c r="G5" s="4"/>
      <c r="H5" s="3"/>
    </row>
    <row r="6" spans="1:11" x14ac:dyDescent="0.25">
      <c r="A6" s="2"/>
      <c r="G6" s="4"/>
      <c r="H6" s="3"/>
    </row>
    <row r="7" spans="1:11" x14ac:dyDescent="0.25">
      <c r="A7" s="2"/>
      <c r="G7" s="4"/>
      <c r="H7" s="3"/>
    </row>
    <row r="8" spans="1:11" x14ac:dyDescent="0.25">
      <c r="A8" s="2"/>
      <c r="G8" s="4"/>
      <c r="H8" s="3"/>
      <c r="K8" t="s">
        <v>381</v>
      </c>
    </row>
    <row r="9" spans="1:11" x14ac:dyDescent="0.25">
      <c r="A9" s="2"/>
      <c r="G9" s="4"/>
      <c r="H9" s="3"/>
      <c r="K9" t="s">
        <v>382</v>
      </c>
    </row>
    <row r="10" spans="1:11" x14ac:dyDescent="0.25">
      <c r="A10" s="2"/>
      <c r="G10" s="4"/>
      <c r="H10" s="3"/>
      <c r="K10" t="s">
        <v>383</v>
      </c>
    </row>
    <row r="11" spans="1:11" x14ac:dyDescent="0.25">
      <c r="A11" s="2"/>
      <c r="G11" s="4"/>
      <c r="H11" s="3"/>
      <c r="K11" t="s">
        <v>384</v>
      </c>
    </row>
    <row r="12" spans="1:11" x14ac:dyDescent="0.25">
      <c r="A12" s="2"/>
      <c r="G12" s="4"/>
      <c r="H12" s="3"/>
    </row>
    <row r="13" spans="1:11" x14ac:dyDescent="0.25">
      <c r="A13" s="2"/>
      <c r="G13" s="4"/>
      <c r="H13" s="3"/>
    </row>
    <row r="14" spans="1:11" x14ac:dyDescent="0.25">
      <c r="A14" s="2"/>
      <c r="G14" s="4"/>
      <c r="H14" s="3"/>
    </row>
    <row r="15" spans="1:11" x14ac:dyDescent="0.25">
      <c r="A15" s="2"/>
      <c r="G15" s="4"/>
      <c r="H15" s="3"/>
    </row>
    <row r="16" spans="1:11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300-000000000000}">
      <formula1>"Interna,Esterna"</formula1>
    </dataValidation>
    <dataValidation type="list" allowBlank="1" showInputMessage="1" showErrorMessage="1" sqref="F4:F30" xr:uid="{00000000-0002-0000-0300-000001000000}">
      <formula1>"Esterna,100 (HERMLE C42U),101 (Sigma Compact 5)"</formula1>
    </dataValidation>
  </dataValidations>
  <hyperlinks>
    <hyperlink ref="H1" location="'DB DQS100'!A1" display="⇦ Torna alla DB" xr:uid="{00000000-0004-0000-0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</v>
      </c>
      <c r="C1" s="17" t="s">
        <v>14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B6" t="s">
        <v>377</v>
      </c>
      <c r="C6" t="s">
        <v>294</v>
      </c>
      <c r="F6" t="s">
        <v>301</v>
      </c>
      <c r="G6" s="4"/>
      <c r="H6" s="3"/>
    </row>
    <row r="7" spans="1:9" x14ac:dyDescent="0.25">
      <c r="A7" s="2"/>
      <c r="B7" t="s">
        <v>378</v>
      </c>
      <c r="C7" t="s">
        <v>300</v>
      </c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400-000000000000}">
      <formula1>"Interna,Esterna"</formula1>
    </dataValidation>
    <dataValidation type="list" allowBlank="1" showInputMessage="1" showErrorMessage="1" sqref="F4:F30" xr:uid="{00000000-0002-0000-0400-000001000000}">
      <formula1>"Esterna,100 (HERMLE C42U),101 (Sigma Compact 5)"</formula1>
    </dataValidation>
  </dataValidations>
  <hyperlinks>
    <hyperlink ref="H1" location="'DB DQS100'!A1" display="⇦ Torna alla DB" xr:uid="{00000000-0004-0000-0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</v>
      </c>
      <c r="C1" s="17" t="s">
        <v>16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500-000000000000}">
      <formula1>"Interna,Esterna"</formula1>
    </dataValidation>
    <dataValidation type="list" allowBlank="1" showInputMessage="1" showErrorMessage="1" sqref="F4:F30" xr:uid="{00000000-0002-0000-0500-000001000000}">
      <formula1>"Esterna,100 (HERMLE C42U),101 (Sigma Compact 5)"</formula1>
    </dataValidation>
  </dataValidations>
  <hyperlinks>
    <hyperlink ref="H1" location="'DB DQS100'!A1" display="⇦ Torna alla DB" xr:uid="{00000000-0004-0000-0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302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600-000000000000}">
      <formula1>"Interna,Esterna"</formula1>
    </dataValidation>
    <dataValidation type="list" allowBlank="1" showInputMessage="1" showErrorMessage="1" sqref="F4:F30" xr:uid="{00000000-0002-0000-0600-000001000000}">
      <formula1>"Esterna,100 (HERMLE C42U),101 (Sigma Compact 5)"</formula1>
    </dataValidation>
  </dataValidations>
  <hyperlinks>
    <hyperlink ref="H1" location="'DB DQS100'!A1" display="⇦ Torna alla DB" xr:uid="{00000000-0004-0000-0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303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700-000000000000}">
      <formula1>"Interna,Esterna"</formula1>
    </dataValidation>
    <dataValidation type="list" allowBlank="1" showInputMessage="1" showErrorMessage="1" sqref="F4:F30" xr:uid="{00000000-0002-0000-0700-000001000000}">
      <formula1>"Esterna,100 (HERMLE C42U),101 (Sigma Compact 5)"</formula1>
    </dataValidation>
  </dataValidations>
  <hyperlinks>
    <hyperlink ref="H1" location="'DB DQS100'!A1" display="⇦ Torna alla DB" xr:uid="{00000000-0004-0000-0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304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800-000000000000}">
      <formula1>"Interna,Esterna"</formula1>
    </dataValidation>
    <dataValidation type="list" allowBlank="1" showInputMessage="1" showErrorMessage="1" sqref="F4:F30" xr:uid="{00000000-0002-0000-0800-000001000000}">
      <formula1>"Esterna,100 (HERMLE C42U),101 (Sigma Compact 5)"</formula1>
    </dataValidation>
  </dataValidations>
  <hyperlinks>
    <hyperlink ref="H1" location="'DB DQS100'!A1" display="⇦ Torna alla DB" xr:uid="{00000000-0004-0000-0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305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900-000000000000}">
      <formula1>"Interna,Esterna"</formula1>
    </dataValidation>
    <dataValidation type="list" allowBlank="1" showInputMessage="1" showErrorMessage="1" sqref="F4:F30" xr:uid="{00000000-0002-0000-0900-000001000000}">
      <formula1>"Esterna,100 (HERMLE C42U),101 (Sigma Compact 5)"</formula1>
    </dataValidation>
  </dataValidations>
  <hyperlinks>
    <hyperlink ref="H1" location="'DB DQS100'!A1" display="⇦ Torna alla DB" xr:uid="{00000000-0004-0000-0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306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A00-000000000000}">
      <formula1>"Interna,Esterna"</formula1>
    </dataValidation>
    <dataValidation type="list" allowBlank="1" showInputMessage="1" showErrorMessage="1" sqref="F4:F30" xr:uid="{00000000-0002-0000-0A00-000001000000}">
      <formula1>"Esterna,100 (HERMLE C42U),101 (Sigma Compact 5)"</formula1>
    </dataValidation>
  </dataValidations>
  <hyperlinks>
    <hyperlink ref="H1" location="'DB DQS100'!A1" display="⇦ Torna alla DB" xr:uid="{00000000-0004-0000-0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307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B00-000000000000}">
      <formula1>"Interna,Esterna"</formula1>
    </dataValidation>
    <dataValidation type="list" allowBlank="1" showInputMessage="1" showErrorMessage="1" sqref="F4:F30" xr:uid="{00000000-0002-0000-0B00-000001000000}">
      <formula1>"Esterna,100 (HERMLE C42U),101 (Sigma Compact 5)"</formula1>
    </dataValidation>
  </dataValidations>
  <hyperlinks>
    <hyperlink ref="H1" location="'DB DQS100'!A1" display="⇦ Torna alla DB" xr:uid="{00000000-0004-0000-0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64</v>
      </c>
      <c r="C1" s="17" t="s">
        <v>65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C00-000000000000}">
      <formula1>"Interna,Esterna"</formula1>
    </dataValidation>
    <dataValidation type="list" allowBlank="1" showInputMessage="1" showErrorMessage="1" sqref="F4:F30" xr:uid="{00000000-0002-0000-0C00-000001000000}">
      <formula1>"Esterna,100 (HERMLE C42U),101 (Sigma Compact 5)"</formula1>
    </dataValidation>
  </dataValidations>
  <hyperlinks>
    <hyperlink ref="H1" location="'DB DQS100'!A1" display="⇦ Torna alla DB" xr:uid="{00000000-0004-0000-0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308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D00-000000000000}">
      <formula1>"Interna,Esterna"</formula1>
    </dataValidation>
    <dataValidation type="list" allowBlank="1" showInputMessage="1" showErrorMessage="1" sqref="F4:F30" xr:uid="{00000000-0002-0000-0D00-000001000000}">
      <formula1>"Esterna,100 (HERMLE C42U),101 (Sigma Compact 5)"</formula1>
    </dataValidation>
  </dataValidations>
  <hyperlinks>
    <hyperlink ref="H1" location="'DB DQS100'!A1" display="⇦ Torna alla DB" xr:uid="{00000000-0004-0000-0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309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E00-000000000000}">
      <formula1>"Interna,Esterna"</formula1>
    </dataValidation>
    <dataValidation type="list" allowBlank="1" showInputMessage="1" showErrorMessage="1" sqref="F4:F30" xr:uid="{00000000-0002-0000-0E00-000001000000}">
      <formula1>"Esterna,100 (HERMLE C42U),101 (Sigma Compact 5)"</formula1>
    </dataValidation>
  </dataValidations>
  <hyperlinks>
    <hyperlink ref="H1" location="'DB DQS100'!A1" display="⇦ Torna alla DB" xr:uid="{00000000-0004-0000-0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310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F00-000000000000}">
      <formula1>"Interna,Esterna"</formula1>
    </dataValidation>
    <dataValidation type="list" allowBlank="1" showInputMessage="1" showErrorMessage="1" sqref="F4:F30" xr:uid="{00000000-0002-0000-0F00-000001000000}">
      <formula1>"Esterna,100 (HERMLE C42U),101 (Sigma Compact 5)"</formula1>
    </dataValidation>
  </dataValidations>
  <hyperlinks>
    <hyperlink ref="H1" location="'DB DQS100'!A1" display="⇦ Torna alla DB" xr:uid="{00000000-0004-0000-0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311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000-000000000000}">
      <formula1>"Interna,Esterna"</formula1>
    </dataValidation>
    <dataValidation type="list" allowBlank="1" showInputMessage="1" showErrorMessage="1" sqref="F4:F30" xr:uid="{00000000-0002-0000-1000-000001000000}">
      <formula1>"Esterna,100 (HERMLE C42U),101 (Sigma Compact 5)"</formula1>
    </dataValidation>
  </dataValidations>
  <hyperlinks>
    <hyperlink ref="H1" location="'DB DQS100'!A1" display="⇦ Torna alla DB" xr:uid="{00000000-0004-0000-1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" t="s">
        <v>0</v>
      </c>
      <c r="B1" s="17" t="s">
        <v>312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0" t="s">
        <v>338</v>
      </c>
      <c r="B2" s="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5"/>
      <c r="I3" s="19"/>
    </row>
    <row r="4" spans="1:9" x14ac:dyDescent="0.25">
      <c r="A4" s="6"/>
      <c r="B4" s="6"/>
      <c r="C4" s="6"/>
      <c r="D4" s="6"/>
      <c r="E4" s="6"/>
      <c r="F4" s="6"/>
      <c r="G4" s="6"/>
      <c r="H4" s="3"/>
    </row>
    <row r="5" spans="1:9" x14ac:dyDescent="0.25">
      <c r="A5" s="6"/>
      <c r="B5" s="6"/>
      <c r="C5" s="6"/>
      <c r="D5" s="6"/>
      <c r="E5" s="6"/>
      <c r="F5" s="6"/>
      <c r="G5" s="6"/>
      <c r="H5" s="3"/>
    </row>
    <row r="6" spans="1:9" x14ac:dyDescent="0.25">
      <c r="A6" s="6"/>
      <c r="B6" s="6"/>
      <c r="C6" s="6"/>
      <c r="D6" s="6"/>
      <c r="E6" s="6"/>
      <c r="F6" s="6"/>
      <c r="G6" s="6"/>
      <c r="H6" s="3"/>
    </row>
    <row r="7" spans="1:9" x14ac:dyDescent="0.25"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8:C30 C3:C6" xr:uid="{00000000-0002-0000-1100-000000000000}">
      <formula1>"Interna,Esterna"</formula1>
    </dataValidation>
    <dataValidation type="list" allowBlank="1" showInputMessage="1" showErrorMessage="1" sqref="F8:F30 F3:F6" xr:uid="{00000000-0002-0000-1100-000001000000}">
      <formula1>"Esterna,100 (HERMLE C42U),101 (Sigma Compact 5)"</formula1>
    </dataValidation>
  </dataValidations>
  <hyperlinks>
    <hyperlink ref="H1" location="'DB DQS100'!A1" display="⇦ Torna alla DB" xr:uid="{00000000-0004-0000-1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313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200-000000000000}">
      <formula1>"Interna,Esterna"</formula1>
    </dataValidation>
    <dataValidation type="list" allowBlank="1" showInputMessage="1" showErrorMessage="1" sqref="F4:F30" xr:uid="{00000000-0002-0000-1200-000001000000}">
      <formula1>"Esterna,100 (HERMLE C42U),101 (Sigma Compact 5)"</formula1>
    </dataValidation>
  </dataValidations>
  <hyperlinks>
    <hyperlink ref="H1" location="'DB DQS100'!A1" display="⇦ Torna alla DB" xr:uid="{00000000-0004-0000-1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314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300-000000000000}">
      <formula1>"Interna,Esterna"</formula1>
    </dataValidation>
    <dataValidation type="list" allowBlank="1" showInputMessage="1" showErrorMessage="1" sqref="F4:F30" xr:uid="{00000000-0002-0000-1300-000001000000}">
      <formula1>"Esterna,100 (HERMLE C42U),101 (Sigma Compact 5)"</formula1>
    </dataValidation>
  </dataValidations>
  <hyperlinks>
    <hyperlink ref="H1" location="'DB DQS100'!A1" display="⇦ Torna alla DB" xr:uid="{00000000-0004-0000-1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315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400-000000000000}">
      <formula1>"Interna,Esterna"</formula1>
    </dataValidation>
    <dataValidation type="list" allowBlank="1" showInputMessage="1" showErrorMessage="1" sqref="F4:F30" xr:uid="{00000000-0002-0000-1400-000001000000}">
      <formula1>"Esterna,100 (HERMLE C42U),101 (Sigma Compact 5)"</formula1>
    </dataValidation>
  </dataValidations>
  <hyperlinks>
    <hyperlink ref="H1" location="'DB DQS100'!A1" display="⇦ Torna alla DB" xr:uid="{00000000-0004-0000-1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316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500-000000000000}">
      <formula1>"Interna,Esterna"</formula1>
    </dataValidation>
    <dataValidation type="list" allowBlank="1" showInputMessage="1" showErrorMessage="1" sqref="F4:F30" xr:uid="{00000000-0002-0000-1500-000001000000}">
      <formula1>"Esterna,100 (HERMLE C42U),101 (Sigma Compact 5)"</formula1>
    </dataValidation>
  </dataValidations>
  <hyperlinks>
    <hyperlink ref="H1" location="'DB DQS100'!A1" display="⇦ Torna alla DB" xr:uid="{00000000-0004-0000-1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317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600-000000000000}">
      <formula1>"Interna,Esterna"</formula1>
    </dataValidation>
    <dataValidation type="list" allowBlank="1" showInputMessage="1" showErrorMessage="1" sqref="F4:F30" xr:uid="{00000000-0002-0000-1600-000001000000}">
      <formula1>"Esterna,100 (HERMLE C42U),101 (Sigma Compact 5)"</formula1>
    </dataValidation>
  </dataValidations>
  <hyperlinks>
    <hyperlink ref="H1" location="'DB DQS100'!A1" display="⇦ Torna alla DB" xr:uid="{00000000-0004-0000-1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318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700-000000000000}">
      <formula1>"Interna,Esterna"</formula1>
    </dataValidation>
    <dataValidation type="list" allowBlank="1" showInputMessage="1" showErrorMessage="1" sqref="F4:F30" xr:uid="{00000000-0002-0000-1700-000001000000}">
      <formula1>"Esterna,100 (HERMLE C42U),101 (Sigma Compact 5)"</formula1>
    </dataValidation>
  </dataValidations>
  <hyperlinks>
    <hyperlink ref="H1" location="'DB DQS100'!A1" display="⇦ Torna alla DB" xr:uid="{00000000-0004-0000-1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319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800-000000000000}">
      <formula1>"Interna,Esterna"</formula1>
    </dataValidation>
    <dataValidation type="list" allowBlank="1" showInputMessage="1" showErrorMessage="1" sqref="F4:F30" xr:uid="{00000000-0002-0000-1800-000001000000}">
      <formula1>"Esterna,100 (HERMLE C42U),101 (Sigma Compact 5)"</formula1>
    </dataValidation>
  </dataValidations>
  <hyperlinks>
    <hyperlink ref="H1" location="'DB DQS100'!A1" display="⇦ Torna alla DB" xr:uid="{00000000-0004-0000-1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320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900-000000000000}">
      <formula1>"Interna,Esterna"</formula1>
    </dataValidation>
    <dataValidation type="list" allowBlank="1" showInputMessage="1" showErrorMessage="1" sqref="F4:F30" xr:uid="{00000000-0002-0000-1900-000001000000}">
      <formula1>"Esterna,100 (HERMLE C42U),101 (Sigma Compact 5)"</formula1>
    </dataValidation>
  </dataValidations>
  <hyperlinks>
    <hyperlink ref="H1" location="'DB DQS100'!A1" display="⇦ Torna alla DB" xr:uid="{00000000-0004-0000-1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321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A00-000000000000}">
      <formula1>"Interna,Esterna"</formula1>
    </dataValidation>
    <dataValidation type="list" allowBlank="1" showInputMessage="1" showErrorMessage="1" sqref="F4:F30" xr:uid="{00000000-0002-0000-1A00-000001000000}">
      <formula1>"Esterna,100 (HERMLE C42U),101 (Sigma Compact 5)"</formula1>
    </dataValidation>
  </dataValidations>
  <hyperlinks>
    <hyperlink ref="H1" location="'DB DQS100'!A1" display="⇦ Torna alla DB" xr:uid="{00000000-0004-0000-1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322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B00-000000000000}">
      <formula1>"Interna,Esterna"</formula1>
    </dataValidation>
    <dataValidation type="list" allowBlank="1" showInputMessage="1" showErrorMessage="1" sqref="F4:F30" xr:uid="{00000000-0002-0000-1B00-000001000000}">
      <formula1>"Esterna,100 (HERMLE C42U),101 (Sigma Compact 5)"</formula1>
    </dataValidation>
  </dataValidations>
  <hyperlinks>
    <hyperlink ref="H1" location="'DB DQS100'!A1" display="⇦ Torna alla DB" xr:uid="{00000000-0004-0000-1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323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C00-000000000000}">
      <formula1>"Interna,Esterna"</formula1>
    </dataValidation>
    <dataValidation type="list" allowBlank="1" showInputMessage="1" showErrorMessage="1" sqref="F4:F30" xr:uid="{00000000-0002-0000-1C00-000001000000}">
      <formula1>"Esterna,100 (HERMLE C42U),101 (Sigma Compact 5)"</formula1>
    </dataValidation>
  </dataValidations>
  <hyperlinks>
    <hyperlink ref="H1" location="'DB DQS100'!A1" display="⇦ Torna alla DB" xr:uid="{00000000-0004-0000-1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324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D00-000000000000}">
      <formula1>"Interna,Esterna"</formula1>
    </dataValidation>
    <dataValidation type="list" allowBlank="1" showInputMessage="1" showErrorMessage="1" sqref="F4:F30" xr:uid="{00000000-0002-0000-1D00-000001000000}">
      <formula1>"Esterna,100 (HERMLE C42U),101 (Sigma Compact 5)"</formula1>
    </dataValidation>
  </dataValidations>
  <hyperlinks>
    <hyperlink ref="H1" location="'DB DQS100'!A1" display="⇦ Torna alla DB" xr:uid="{00000000-0004-0000-1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325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E00-000000000000}">
      <formula1>"Interna,Esterna"</formula1>
    </dataValidation>
    <dataValidation type="list" allowBlank="1" showInputMessage="1" showErrorMessage="1" sqref="F4:F30" xr:uid="{00000000-0002-0000-1E00-000001000000}">
      <formula1>"Esterna,100 (HERMLE C42U),101 (Sigma Compact 5)"</formula1>
    </dataValidation>
  </dataValidations>
  <hyperlinks>
    <hyperlink ref="H1" location="'DB DQS100'!A1" display="⇦ Torna alla DB" xr:uid="{00000000-0004-0000-1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30"/>
  <sheetViews>
    <sheetView workbookViewId="0">
      <pane ySplit="3" topLeftCell="A4" activePane="bottomLeft" state="frozen"/>
      <selection pane="bottomLeft" activeCell="A3" sqref="A3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326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F00-000000000000}">
      <formula1>"Interna,Esterna"</formula1>
    </dataValidation>
    <dataValidation type="list" allowBlank="1" showInputMessage="1" showErrorMessage="1" sqref="F4:F30" xr:uid="{00000000-0002-0000-1F00-000001000000}">
      <formula1>"Esterna,100 (HERMLE C42U),101 (Sigma Compact 5)"</formula1>
    </dataValidation>
  </dataValidations>
  <hyperlinks>
    <hyperlink ref="H1" location="'DB DQS100'!A1" display="⇦ Torna alla DB" xr:uid="{00000000-0004-0000-1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169</v>
      </c>
      <c r="C1" s="17" t="s">
        <v>170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000-000000000000}">
      <formula1>"Interna,Esterna"</formula1>
    </dataValidation>
    <dataValidation type="list" allowBlank="1" showInputMessage="1" showErrorMessage="1" sqref="F4:F30" xr:uid="{00000000-0002-0000-2000-000001000000}">
      <formula1>"Esterna,100 (HERMLE C42U),101 (Sigma Compact 5)"</formula1>
    </dataValidation>
  </dataValidations>
  <hyperlinks>
    <hyperlink ref="H1" location="'DB DQS100'!A1" display="⇦ Torna alla DB" xr:uid="{00000000-0004-0000-2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172</v>
      </c>
      <c r="C1" s="17" t="s">
        <v>173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100-000000000000}">
      <formula1>"Interna,Esterna"</formula1>
    </dataValidation>
    <dataValidation type="list" allowBlank="1" showInputMessage="1" showErrorMessage="1" sqref="F4:F30" xr:uid="{00000000-0002-0000-2100-000001000000}">
      <formula1>"Esterna,100 (HERMLE C42U),101 (Sigma Compact 5)"</formula1>
    </dataValidation>
  </dataValidations>
  <hyperlinks>
    <hyperlink ref="H1" location="'DB DQS100'!A1" display="⇦ Torna alla DB" xr:uid="{00000000-0004-0000-2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175</v>
      </c>
      <c r="C1" s="17" t="s">
        <v>176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200-000000000000}">
      <formula1>"Interna,Esterna"</formula1>
    </dataValidation>
    <dataValidation type="list" allowBlank="1" showInputMessage="1" showErrorMessage="1" sqref="F4:F30" xr:uid="{00000000-0002-0000-2200-000001000000}">
      <formula1>"Esterna,100 (HERMLE C42U),101 (Sigma Compact 5)"</formula1>
    </dataValidation>
  </dataValidations>
  <hyperlinks>
    <hyperlink ref="H1" location="'DB DQS100'!A1" display="⇦ Torna alla DB" xr:uid="{00000000-0004-0000-2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177</v>
      </c>
      <c r="C1" s="17" t="s">
        <v>178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300-000000000000}">
      <formula1>"Interna,Esterna"</formula1>
    </dataValidation>
    <dataValidation type="list" allowBlank="1" showInputMessage="1" showErrorMessage="1" sqref="F4:F30" xr:uid="{00000000-0002-0000-2300-000001000000}">
      <formula1>"Esterna,100 (HERMLE C42U),101 (Sigma Compact 5)"</formula1>
    </dataValidation>
  </dataValidations>
  <hyperlinks>
    <hyperlink ref="H1" location="'DB DQS100'!A1" display="⇦ Torna alla DB" xr:uid="{00000000-0004-0000-2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180</v>
      </c>
      <c r="C1" s="17" t="s">
        <v>181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400-000000000000}">
      <formula1>"Interna,Esterna"</formula1>
    </dataValidation>
    <dataValidation type="list" allowBlank="1" showInputMessage="1" showErrorMessage="1" sqref="F4:F30" xr:uid="{00000000-0002-0000-2400-000001000000}">
      <formula1>"Esterna,100 (HERMLE C42U),101 (Sigma Compact 5)"</formula1>
    </dataValidation>
  </dataValidations>
  <hyperlinks>
    <hyperlink ref="H1" location="'DB DQS100'!A1" display="⇦ Torna alla DB" xr:uid="{00000000-0004-0000-2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327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500-000000000000}">
      <formula1>"Interna,Esterna"</formula1>
    </dataValidation>
    <dataValidation type="list" allowBlank="1" showInputMessage="1" showErrorMessage="1" sqref="F4:F30" xr:uid="{00000000-0002-0000-2500-000001000000}">
      <formula1>"Esterna,100 (HERMLE C42U),101 (Sigma Compact 5)"</formula1>
    </dataValidation>
  </dataValidations>
  <hyperlinks>
    <hyperlink ref="H1" location="'DB DQS100'!A1" display="⇦ Torna alla DB" xr:uid="{00000000-0004-0000-2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DEFA-CABF-4224-963E-2934992C0B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24.7109375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328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600-000000000000}">
      <formula1>"Interna,Esterna"</formula1>
    </dataValidation>
    <dataValidation type="list" allowBlank="1" showInputMessage="1" showErrorMessage="1" sqref="F4:F30" xr:uid="{00000000-0002-0000-2600-000001000000}">
      <formula1>"Esterna,100 (HERMLE C42U),101 (Sigma Compact 5)"</formula1>
    </dataValidation>
  </dataValidations>
  <hyperlinks>
    <hyperlink ref="H1" location="'DB DQS100'!A1" display="⇦ Torna alla DB" xr:uid="{00000000-0004-0000-2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329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700-000000000000}">
      <formula1>"Interna,Esterna"</formula1>
    </dataValidation>
    <dataValidation type="list" allowBlank="1" showInputMessage="1" showErrorMessage="1" sqref="F4:F30" xr:uid="{00000000-0002-0000-2700-000001000000}">
      <formula1>"Esterna,100 (HERMLE C42U),101 (Sigma Compact 5)"</formula1>
    </dataValidation>
  </dataValidations>
  <hyperlinks>
    <hyperlink ref="H1" location="'DB DQS100'!A1" display="⇦ Torna alla DB" xr:uid="{00000000-0004-0000-2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330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800-000000000000}">
      <formula1>"Interna,Esterna"</formula1>
    </dataValidation>
    <dataValidation type="list" allowBlank="1" showInputMessage="1" showErrorMessage="1" sqref="F4:F30" xr:uid="{00000000-0002-0000-2800-000001000000}">
      <formula1>"Esterna,100 (HERMLE C42U),101 (Sigma Compact 5)"</formula1>
    </dataValidation>
  </dataValidations>
  <hyperlinks>
    <hyperlink ref="H1" location="'DB DQS100'!A1" display="⇦ Torna alla DB" xr:uid="{00000000-0004-0000-2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331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900-000000000000}">
      <formula1>"Interna,Esterna"</formula1>
    </dataValidation>
    <dataValidation type="list" allowBlank="1" showInputMessage="1" showErrorMessage="1" sqref="F4:F30" xr:uid="{00000000-0002-0000-2900-000001000000}">
      <formula1>"Esterna,100 (HERMLE C42U),101 (Sigma Compact 5)"</formula1>
    </dataValidation>
  </dataValidations>
  <hyperlinks>
    <hyperlink ref="H1" location="'DB DQS100'!A1" display="⇦ Torna alla DB" xr:uid="{00000000-0004-0000-2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332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A00-000000000000}">
      <formula1>"Interna,Esterna"</formula1>
    </dataValidation>
    <dataValidation type="list" allowBlank="1" showInputMessage="1" showErrorMessage="1" sqref="F4:F30" xr:uid="{00000000-0002-0000-2A00-000001000000}">
      <formula1>"Esterna,100 (HERMLE C42U),101 (Sigma Compact 5)"</formula1>
    </dataValidation>
  </dataValidations>
  <hyperlinks>
    <hyperlink ref="H1" location="'DB DQS100'!A1" display="⇦ Torna alla DB" xr:uid="{00000000-0004-0000-2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333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B00-000000000000}">
      <formula1>"Interna,Esterna"</formula1>
    </dataValidation>
    <dataValidation type="list" allowBlank="1" showInputMessage="1" showErrorMessage="1" sqref="F4:F30" xr:uid="{00000000-0002-0000-2B00-000001000000}">
      <formula1>"Esterna,100 (HERMLE C42U),101 (Sigma Compact 5)"</formula1>
    </dataValidation>
  </dataValidations>
  <hyperlinks>
    <hyperlink ref="H1" location="'DB DQS100'!A1" display="⇦ Torna alla DB" xr:uid="{00000000-0004-0000-2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334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C00-000000000000}">
      <formula1>"Interna,Esterna"</formula1>
    </dataValidation>
    <dataValidation type="list" allowBlank="1" showInputMessage="1" showErrorMessage="1" sqref="F4:F30" xr:uid="{00000000-0002-0000-2C00-000001000000}">
      <formula1>"Esterna,100 (HERMLE C42U),101 (Sigma Compact 5)"</formula1>
    </dataValidation>
  </dataValidations>
  <hyperlinks>
    <hyperlink ref="H1" location="'DB DQS100'!A1" display="⇦ Torna alla DB" xr:uid="{00000000-0004-0000-2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258</v>
      </c>
      <c r="C1" s="17" t="s">
        <v>259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D00-000000000000}">
      <formula1>"Interna,Esterna"</formula1>
    </dataValidation>
    <dataValidation type="list" allowBlank="1" showInputMessage="1" showErrorMessage="1" sqref="F4:F30" xr:uid="{00000000-0002-0000-2D00-000001000000}">
      <formula1>"Esterna,100 (HERMLE C42U),101 (Sigma Compact 5)"</formula1>
    </dataValidation>
  </dataValidations>
  <hyperlinks>
    <hyperlink ref="H1" location="'DB DQS100'!A1" display="⇦ Torna alla DB" xr:uid="{00000000-0004-0000-2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261</v>
      </c>
      <c r="C1" s="17" t="s">
        <v>262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E00-000000000000}">
      <formula1>"Interna,Esterna"</formula1>
    </dataValidation>
    <dataValidation type="list" allowBlank="1" showInputMessage="1" showErrorMessage="1" sqref="F4:F30" xr:uid="{00000000-0002-0000-2E00-000001000000}">
      <formula1>"Esterna,100 (HERMLE C42U),101 (Sigma Compact 5)"</formula1>
    </dataValidation>
  </dataValidations>
  <hyperlinks>
    <hyperlink ref="H1" location="'DB DQS100'!A1" display="⇦ Torna alla DB" xr:uid="{00000000-0004-0000-2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21" t="s">
        <v>335</v>
      </c>
      <c r="B1" s="17" t="s">
        <v>336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F00-000000000000}">
      <formula1>"Interna,Esterna"</formula1>
    </dataValidation>
    <dataValidation type="list" allowBlank="1" showInputMessage="1" showErrorMessage="1" sqref="F4:F30" xr:uid="{00000000-0002-0000-2F00-000001000000}">
      <formula1>"Esterna,100 (HERMLE C42U),101 (Sigma Compact 5)"</formula1>
    </dataValidation>
  </dataValidations>
  <hyperlinks>
    <hyperlink ref="H1" location="'DB DQS100'!A1" display="⇦ Torna alla DB" xr:uid="{00000000-0004-0000-2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337</v>
      </c>
      <c r="C1" s="17"/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3000-000000000000}">
      <formula1>"Interna,Esterna"</formula1>
    </dataValidation>
    <dataValidation type="list" allowBlank="1" showInputMessage="1" showErrorMessage="1" sqref="F4:F30" xr:uid="{00000000-0002-0000-3000-000001000000}">
      <formula1>"Esterna,100 (HERMLE C42U),101 (Sigma Compact 5)"</formula1>
    </dataValidation>
  </dataValidations>
  <hyperlinks>
    <hyperlink ref="H1" location="'DB DQS100'!A1" display="⇦ Torna alla DB" xr:uid="{00000000-0004-0000-3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276</v>
      </c>
      <c r="C1" s="17" t="s">
        <v>277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3100-000000000000}">
      <formula1>"Interna,Esterna"</formula1>
    </dataValidation>
    <dataValidation type="list" allowBlank="1" showInputMessage="1" showErrorMessage="1" sqref="F4:F30" xr:uid="{00000000-0002-0000-3100-000001000000}">
      <formula1>"Esterna,100 (HERMLE C42U),101 (Sigma Compact 5)"</formula1>
    </dataValidation>
  </dataValidations>
  <hyperlinks>
    <hyperlink ref="H1" location="'DB DQS100'!A1" display="⇦ Torna alla DB" xr:uid="{00000000-0004-0000-3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278</v>
      </c>
      <c r="C1" s="17" t="s">
        <v>279</v>
      </c>
      <c r="E1" s="22" t="s">
        <v>281</v>
      </c>
      <c r="F1" s="25"/>
      <c r="G1" s="27"/>
      <c r="H1" s="28" t="s">
        <v>282</v>
      </c>
    </row>
    <row r="2" spans="1:9" x14ac:dyDescent="0.25">
      <c r="A2" s="18" t="s">
        <v>283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284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289</v>
      </c>
      <c r="G3" s="5" t="s">
        <v>290</v>
      </c>
      <c r="H3" s="5" t="s">
        <v>291</v>
      </c>
      <c r="I3" s="19" t="s">
        <v>292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3200-000000000000}">
      <formula1>"Interna,Esterna"</formula1>
    </dataValidation>
    <dataValidation type="list" allowBlank="1" showInputMessage="1" showErrorMessage="1" sqref="F4:F30" xr:uid="{00000000-0002-0000-3200-000001000000}">
      <formula1>"Esterna,100 (HERMLE C42U),101 (Sigma Compact 5)"</formula1>
    </dataValidation>
  </dataValidations>
  <hyperlinks>
    <hyperlink ref="H1" location="'DB DQS100'!A1" display="⇦ Torna alla DB" xr:uid="{00000000-0004-0000-3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335</v>
      </c>
      <c r="B1" s="7" t="s">
        <v>17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32" t="s">
        <v>341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19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20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335</v>
      </c>
      <c r="B1" s="7" t="s">
        <v>342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27</v>
      </c>
      <c r="B4" s="6"/>
      <c r="C4" s="6"/>
      <c r="D4" s="6">
        <v>150</v>
      </c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343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344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345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34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35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346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41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42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347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>
        <v>100</v>
      </c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348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349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350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66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67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351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73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93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93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352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353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354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355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356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357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358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359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360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361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362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363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364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183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184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221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222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365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366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241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242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367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368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369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370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263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264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371</v>
      </c>
      <c r="C1" s="17"/>
      <c r="D1" s="8"/>
      <c r="E1" s="8"/>
      <c r="F1" s="8"/>
      <c r="G1" s="46" t="s">
        <v>282</v>
      </c>
      <c r="H1" s="47"/>
      <c r="I1" s="47"/>
      <c r="J1" s="9"/>
    </row>
    <row r="2" spans="1:10" x14ac:dyDescent="0.25">
      <c r="A2" s="10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287</v>
      </c>
      <c r="C3" s="5" t="s">
        <v>288</v>
      </c>
      <c r="D3" s="5" t="s">
        <v>339</v>
      </c>
      <c r="E3" s="5" t="s">
        <v>340</v>
      </c>
      <c r="F3" s="5" t="s">
        <v>291</v>
      </c>
      <c r="G3" s="5" t="s">
        <v>292</v>
      </c>
      <c r="H3" s="8"/>
      <c r="I3" s="8"/>
      <c r="J3" s="8"/>
    </row>
    <row r="4" spans="1:10" ht="20.100000000000001" customHeight="1" x14ac:dyDescent="0.25">
      <c r="A4" s="6" t="s">
        <v>275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85</vt:i4>
      </vt:variant>
    </vt:vector>
  </HeadingPairs>
  <TitlesOfParts>
    <vt:vector size="85" baseType="lpstr">
      <vt:lpstr>DB DQS100</vt:lpstr>
      <vt:lpstr>P001-025-001B</vt:lpstr>
      <vt:lpstr>P001-025-002</vt:lpstr>
      <vt:lpstr>P001-024-019B</vt:lpstr>
      <vt:lpstr>P001-025-003</vt:lpstr>
      <vt:lpstr>P001-024-008B</vt:lpstr>
      <vt:lpstr>P001-024-031</vt:lpstr>
      <vt:lpstr>P001-024-052</vt:lpstr>
      <vt:lpstr>P001-024-028</vt:lpstr>
      <vt:lpstr>P001-024-012A</vt:lpstr>
      <vt:lpstr>P001-024-010A</vt:lpstr>
      <vt:lpstr>P001-024-011</vt:lpstr>
      <vt:lpstr>P001-024-016</vt:lpstr>
      <vt:lpstr>P001-024-021B</vt:lpstr>
      <vt:lpstr>P001-024-022D</vt:lpstr>
      <vt:lpstr>P001-024-023D</vt:lpstr>
      <vt:lpstr>P001-024-024D</vt:lpstr>
      <vt:lpstr>C0975-074-0875S 
D20</vt:lpstr>
      <vt:lpstr>CORPO VNR</vt:lpstr>
      <vt:lpstr>ISO 2338 - 1 m6 x 
4 - St</vt:lpstr>
      <vt:lpstr>P001-024-032</vt:lpstr>
      <vt:lpstr>P001-024-037</vt:lpstr>
      <vt:lpstr>P001-024-035</vt:lpstr>
      <vt:lpstr>P001-024-036</vt:lpstr>
      <vt:lpstr>P001-024-025B</vt:lpstr>
      <vt:lpstr>P001-024-026</vt:lpstr>
      <vt:lpstr>P001-024-042</vt:lpstr>
      <vt:lpstr>P001-024-041A</vt:lpstr>
      <vt:lpstr>P001-024-043</vt:lpstr>
      <vt:lpstr>P001-024-044</vt:lpstr>
      <vt:lpstr>P001-024-045</vt:lpstr>
      <vt:lpstr>P001-024-054</vt:lpstr>
      <vt:lpstr>P001-024-002B</vt:lpstr>
      <vt:lpstr>P001-024-004</vt:lpstr>
      <vt:lpstr>P001-024-005</vt:lpstr>
      <vt:lpstr>375923KE00</vt:lpstr>
      <vt:lpstr>P001-024-038</vt:lpstr>
      <vt:lpstr>P001-024-015C</vt:lpstr>
      <vt:lpstr>Foglio2</vt:lpstr>
      <vt:lpstr>P001-025-008KOREA</vt:lpstr>
      <vt:lpstr>P001-024-046</vt:lpstr>
      <vt:lpstr>P001-024-047</vt:lpstr>
      <vt:lpstr>P001-025-009KOREA</vt:lpstr>
      <vt:lpstr>RST M8x3</vt:lpstr>
      <vt:lpstr>P001-024-050</vt:lpstr>
      <vt:lpstr>P001-024-051</vt:lpstr>
      <vt:lpstr>9TTP40J6PELD</vt:lpstr>
      <vt:lpstr>9TTP25J5PELD</vt:lpstr>
      <vt:lpstr>P001-024-039</vt:lpstr>
      <vt:lpstr>P001-025-004</vt:lpstr>
      <vt:lpstr>P001-025-007</vt:lpstr>
      <vt:lpstr>PM012216E</vt:lpstr>
      <vt:lpstr>COMM_SF030</vt:lpstr>
      <vt:lpstr>COMM_A001-024-006</vt:lpstr>
      <vt:lpstr>COMM_spina_1_x_6</vt:lpstr>
      <vt:lpstr>COMM_SF1-8</vt:lpstr>
      <vt:lpstr>COMM_OR2021</vt:lpstr>
      <vt:lpstr>COMM_A001-024-011</vt:lpstr>
      <vt:lpstr>COMM_OR2043</vt:lpstr>
      <vt:lpstr>COMM_A001-024-002</vt:lpstr>
      <vt:lpstr>COMM_or_3100</vt:lpstr>
      <vt:lpstr>COMM_941625X19X3J5PO00</vt:lpstr>
      <vt:lpstr>COMM_or_2106</vt:lpstr>
      <vt:lpstr>COMM_A001-024-007A</vt:lpstr>
      <vt:lpstr>COMM_A001-024-005E</vt:lpstr>
      <vt:lpstr>COMM_VNR5</vt:lpstr>
      <vt:lpstr>COMM_SF001J5</vt:lpstr>
      <vt:lpstr>COMM_OR2081</vt:lpstr>
      <vt:lpstr>COMM_OR2087</vt:lpstr>
      <vt:lpstr>COMM_OR108</vt:lpstr>
      <vt:lpstr>COMM_OR2187</vt:lpstr>
      <vt:lpstr>COMM_OR2031</vt:lpstr>
      <vt:lpstr>COMM_SF3-32</vt:lpstr>
      <vt:lpstr>COMM_OR3118</vt:lpstr>
      <vt:lpstr>COMM_OR4287</vt:lpstr>
      <vt:lpstr>COMM_OR3200</vt:lpstr>
      <vt:lpstr>COMM_OR2200</vt:lpstr>
      <vt:lpstr>COMM_A001-024-003C</vt:lpstr>
      <vt:lpstr>COMM_A001-025-003KOREA</vt:lpstr>
      <vt:lpstr>COMM_A001-024-009</vt:lpstr>
      <vt:lpstr>COMM_A001-024-010</vt:lpstr>
      <vt:lpstr>COMM_Dado_cieco_M8_DIN__1587</vt:lpstr>
      <vt:lpstr>COMM_DADO_FLANGIATO__M8</vt:lpstr>
      <vt:lpstr>COMM_A001-025-002KOREA</vt:lpstr>
      <vt:lpstr>COMM_OR4061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Brazzale</dc:creator>
  <cp:lastModifiedBy>Cristian Dogani</cp:lastModifiedBy>
  <cp:lastPrinted>2025-10-07T12:01:06Z</cp:lastPrinted>
  <dcterms:created xsi:type="dcterms:W3CDTF">2025-09-24T09:27:05Z</dcterms:created>
  <dcterms:modified xsi:type="dcterms:W3CDTF">2025-11-03T09:42:23Z</dcterms:modified>
</cp:coreProperties>
</file>